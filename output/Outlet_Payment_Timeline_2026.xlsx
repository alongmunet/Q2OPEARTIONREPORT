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Weekly Tim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"/>
    <numFmt numFmtId="166" formatCode="#,##0;(#,##0);&quot;-&quot;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FF"/>
    </font>
    <font>
      <name val="Arial"/>
    </font>
    <font>
      <name val="Arial"/>
      <i val="1"/>
    </font>
    <font>
      <name val="Arial"/>
      <b val="1"/>
      <color rgb="00FFFFFF"/>
    </font>
    <font>
      <name val="Arial"/>
      <b val="1"/>
    </font>
    <font>
      <name val="Arial"/>
      <b val="1"/>
      <sz val="9"/>
    </font>
    <font>
      <name val="Arial"/>
      <sz val="9"/>
    </font>
    <font>
      <name val="Arial"/>
      <color rgb="0000800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65" fontId="2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165" fontId="2" fillId="2" borderId="1" pivotButton="0" quotePrefix="0" xfId="0"/>
    <xf numFmtId="166" fontId="2" fillId="2" borderId="1" pivotButton="0" quotePrefix="0" xfId="0"/>
    <xf numFmtId="166" fontId="3" fillId="0" borderId="1" pivotButton="0" quotePrefix="0" xfId="0"/>
    <xf numFmtId="9" fontId="2" fillId="2" borderId="1" pivotButton="0" quotePrefix="0" xfId="0"/>
    <xf numFmtId="165" fontId="3" fillId="0" borderId="1" pivotButton="0" quotePrefix="0" xfId="0"/>
    <xf numFmtId="0" fontId="6" fillId="0" borderId="0" pivotButton="0" quotePrefix="0" xfId="0"/>
    <xf numFmtId="166" fontId="6" fillId="4" borderId="0" pivotButton="0" quotePrefix="0" xfId="0"/>
    <xf numFmtId="0" fontId="5" fillId="3" borderId="1" applyAlignment="1" pivotButton="0" quotePrefix="0" xfId="0">
      <alignment horizontal="center" wrapText="1"/>
    </xf>
    <xf numFmtId="165" fontId="7" fillId="4" borderId="1" applyAlignment="1" pivotButton="0" quotePrefix="0" xfId="0">
      <alignment horizontal="center"/>
    </xf>
    <xf numFmtId="165" fontId="8" fillId="4" borderId="1" applyAlignment="1" pivotButton="0" quotePrefix="0" xfId="0">
      <alignment horizontal="center"/>
    </xf>
    <xf numFmtId="165" fontId="2" fillId="4" borderId="1" applyAlignment="1" pivotButton="0" quotePrefix="0" xfId="0">
      <alignment horizontal="center"/>
    </xf>
    <xf numFmtId="0" fontId="9" fillId="0" borderId="1" pivotButton="0" quotePrefix="0" xfId="0"/>
    <xf numFmtId="166" fontId="9" fillId="0" borderId="1" pivotButton="0" quotePrefix="0" xfId="0"/>
    <xf numFmtId="0" fontId="6" fillId="4" borderId="0" pivotButton="0" quotePrefix="0" xfId="0"/>
    <xf numFmtId="166" fontId="6" fillId="4" borderId="1" pivotButton="0" quotePrefix="0" xfId="0"/>
    <xf numFmtId="166" fontId="6" fillId="0" borderId="1" pivotButton="0" quotePrefix="0" xfId="0"/>
    <xf numFmtId="166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Claude</author>
  </authors>
  <commentList>
    <comment ref="G6" authorId="0" shapeId="0">
      <text>
        <t>Share of the outstanding balance paid in the pre-opening window. The rest is paid in the post-opening window.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13" customWidth="1" min="4" max="4"/>
    <col width="14" customWidth="1" min="5" max="5"/>
    <col width="13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62" customWidth="1" min="12" max="12"/>
  </cols>
  <sheetData>
    <row r="1">
      <c r="A1" s="1" t="inlineStr">
        <is>
          <t>Outlet Payment Timeline – Inputs</t>
        </is>
      </c>
    </row>
    <row r="2">
      <c r="A2" s="2" t="inlineStr">
        <is>
          <t>Timeline start</t>
        </is>
      </c>
      <c r="C2" s="3" t="n">
        <v>46296</v>
      </c>
      <c r="D2" s="4" t="inlineStr">
        <is>
          <t>Payments to 30 Sep are recorded as 'Paid'; balance is scheduled from this date.</t>
        </is>
      </c>
    </row>
    <row r="3">
      <c r="A3" s="2" t="inlineStr">
        <is>
          <t>Timeline end</t>
        </is>
      </c>
      <c r="C3" s="3" t="n">
        <v>46387</v>
      </c>
    </row>
    <row r="4">
      <c r="A4" s="4" t="inlineStr">
        <is>
          <t>Blue text / yellow fill = inputs you can edit. Black = formulas.</t>
        </is>
      </c>
    </row>
    <row r="6" ht="45" customHeight="1">
      <c r="A6" s="5" t="inlineStr">
        <is>
          <t>No</t>
        </is>
      </c>
      <c r="B6" s="5" t="inlineStr">
        <is>
          <t>Outlet</t>
        </is>
      </c>
      <c r="C6" s="5" t="inlineStr">
        <is>
          <t>Grand Opening</t>
        </is>
      </c>
      <c r="D6" s="5" t="inlineStr">
        <is>
          <t>Cost (RM)</t>
        </is>
      </c>
      <c r="E6" s="5" t="inlineStr">
        <is>
          <t>Paid to 30 Sep (RM)</t>
        </is>
      </c>
      <c r="F6" s="5" t="inlineStr">
        <is>
          <t>Balance (RM)</t>
        </is>
      </c>
      <c r="G6" s="5" t="inlineStr">
        <is>
          <t>% of balance paid before opening</t>
        </is>
      </c>
      <c r="H6" s="5" t="inlineStr">
        <is>
          <t>Pre-opening start</t>
        </is>
      </c>
      <c r="I6" s="5" t="inlineStr">
        <is>
          <t>Pre-opening end</t>
        </is>
      </c>
      <c r="J6" s="5" t="inlineStr">
        <is>
          <t>Post-opening start</t>
        </is>
      </c>
      <c r="K6" s="5" t="inlineStr">
        <is>
          <t>Post-opening end</t>
        </is>
      </c>
      <c r="L6" s="5" t="inlineStr">
        <is>
          <t>Notes</t>
        </is>
      </c>
    </row>
    <row r="7">
      <c r="A7" s="6" t="n">
        <v>10</v>
      </c>
      <c r="B7" s="6" t="inlineStr">
        <is>
          <t>PASIR GUDANG</t>
        </is>
      </c>
      <c r="C7" s="7" t="n">
        <v>46295</v>
      </c>
      <c r="D7" s="8" t="n">
        <v>650000</v>
      </c>
      <c r="E7" s="8" t="n">
        <v>300000</v>
      </c>
      <c r="F7" s="9">
        <f>D7-E7</f>
        <v/>
      </c>
      <c r="G7" s="10" t="n">
        <v>0</v>
      </c>
      <c r="H7" s="11">
        <f>MAX(C7-45,$C$2)</f>
        <v/>
      </c>
      <c r="I7" s="11">
        <f>C7-1</f>
        <v/>
      </c>
      <c r="J7" s="7" t="n">
        <v>46296</v>
      </c>
      <c r="K7" s="7" t="n">
        <v>46326</v>
      </c>
      <c r="L7" s="6" t="inlineStr">
        <is>
          <t>Already open 30 Sep. Balance spread evenly over October (~RM79k/week).</t>
        </is>
      </c>
    </row>
    <row r="8">
      <c r="A8" s="6" t="n">
        <v>11</v>
      </c>
      <c r="B8" s="6" t="inlineStr">
        <is>
          <t>CHERAS DWITASIK</t>
        </is>
      </c>
      <c r="C8" s="7" t="n">
        <v>46307</v>
      </c>
      <c r="D8" s="8" t="n">
        <v>650000</v>
      </c>
      <c r="E8" s="8" t="n">
        <v>91500</v>
      </c>
      <c r="F8" s="9">
        <f>D8-E8</f>
        <v/>
      </c>
      <c r="G8" s="10" t="n">
        <v>0.5</v>
      </c>
      <c r="H8" s="11">
        <f>MAX(C8-45,$C$2)</f>
        <v/>
      </c>
      <c r="I8" s="11">
        <f>C8-1</f>
        <v/>
      </c>
      <c r="J8" s="11">
        <f>C8</f>
        <v/>
      </c>
      <c r="K8" s="7" t="n">
        <v>46334</v>
      </c>
      <c r="L8" s="6" t="inlineStr">
        <is>
          <t>50% of balance 1–11 Oct; 50% after opening, 12 Oct – 8 Nov (4 weeks).</t>
        </is>
      </c>
    </row>
    <row r="9">
      <c r="A9" s="6" t="n">
        <v>12</v>
      </c>
      <c r="B9" s="6" t="inlineStr">
        <is>
          <t>PETALING JAYA</t>
        </is>
      </c>
      <c r="C9" s="7" t="n">
        <v>46322</v>
      </c>
      <c r="D9" s="8" t="n">
        <v>650000</v>
      </c>
      <c r="E9" s="8" t="n">
        <v>122000</v>
      </c>
      <c r="F9" s="9">
        <f>D9-E9</f>
        <v/>
      </c>
      <c r="G9" s="10" t="n">
        <v>1</v>
      </c>
      <c r="H9" s="11">
        <f>MAX(C9-45,$C$2)</f>
        <v/>
      </c>
      <c r="I9" s="11">
        <f>C9-1</f>
        <v/>
      </c>
      <c r="J9" s="11" t="n"/>
      <c r="K9" s="11" t="n"/>
      <c r="L9" s="6" t="inlineStr">
        <is>
          <t>Balance spread 1 – 26 Oct.</t>
        </is>
      </c>
    </row>
    <row r="10">
      <c r="A10" s="6" t="n">
        <v>13</v>
      </c>
      <c r="B10" s="6" t="inlineStr">
        <is>
          <t>TAIPAN USJ</t>
        </is>
      </c>
      <c r="C10" s="7" t="n">
        <v>46342</v>
      </c>
      <c r="D10" s="8" t="n">
        <v>450000</v>
      </c>
      <c r="E10" s="8" t="n">
        <v>0</v>
      </c>
      <c r="F10" s="9">
        <f>D10-E10</f>
        <v/>
      </c>
      <c r="G10" s="10" t="n">
        <v>1</v>
      </c>
      <c r="H10" s="11">
        <f>MAX(C10-45,$C$2)</f>
        <v/>
      </c>
      <c r="I10" s="11">
        <f>C10-1</f>
        <v/>
      </c>
      <c r="J10" s="11" t="n"/>
      <c r="K10" s="11" t="n"/>
      <c r="L10" s="6" t="inlineStr">
        <is>
          <t>45 days before opening</t>
        </is>
      </c>
    </row>
    <row r="11">
      <c r="A11" s="6" t="n">
        <v>14</v>
      </c>
      <c r="B11" s="6" t="inlineStr">
        <is>
          <t>BANGSAR</t>
        </is>
      </c>
      <c r="C11" s="7" t="n">
        <v>46344</v>
      </c>
      <c r="D11" s="8" t="n">
        <v>450000</v>
      </c>
      <c r="E11" s="8" t="n">
        <v>0</v>
      </c>
      <c r="F11" s="9">
        <f>D11-E11</f>
        <v/>
      </c>
      <c r="G11" s="10" t="n">
        <v>1</v>
      </c>
      <c r="H11" s="11">
        <f>MAX(C11-45,$C$2)</f>
        <v/>
      </c>
      <c r="I11" s="11">
        <f>C11-1</f>
        <v/>
      </c>
      <c r="J11" s="11" t="n"/>
      <c r="K11" s="11" t="n"/>
      <c r="L11" s="6" t="inlineStr">
        <is>
          <t>45 days before opening</t>
        </is>
      </c>
    </row>
    <row r="12">
      <c r="A12" s="6" t="n">
        <v>15</v>
      </c>
      <c r="B12" s="6" t="inlineStr">
        <is>
          <t>MACHANG</t>
        </is>
      </c>
      <c r="C12" s="7" t="n">
        <v>46344</v>
      </c>
      <c r="D12" s="8" t="n">
        <v>450000</v>
      </c>
      <c r="E12" s="8" t="n">
        <v>0</v>
      </c>
      <c r="F12" s="9">
        <f>D12-E12</f>
        <v/>
      </c>
      <c r="G12" s="10" t="n">
        <v>1</v>
      </c>
      <c r="H12" s="11">
        <f>MAX(C12-45,$C$2)</f>
        <v/>
      </c>
      <c r="I12" s="11">
        <f>C12-1</f>
        <v/>
      </c>
      <c r="J12" s="11" t="n"/>
      <c r="K12" s="11" t="n"/>
      <c r="L12" s="6" t="inlineStr">
        <is>
          <t>45 days before opening</t>
        </is>
      </c>
    </row>
    <row r="13">
      <c r="A13" s="6" t="n">
        <v>16</v>
      </c>
      <c r="B13" s="6" t="inlineStr">
        <is>
          <t>ARAU</t>
        </is>
      </c>
      <c r="C13" s="7" t="n">
        <v>46349</v>
      </c>
      <c r="D13" s="8" t="n">
        <v>450000</v>
      </c>
      <c r="E13" s="8" t="n">
        <v>0</v>
      </c>
      <c r="F13" s="9">
        <f>D13-E13</f>
        <v/>
      </c>
      <c r="G13" s="10" t="n">
        <v>1</v>
      </c>
      <c r="H13" s="11">
        <f>MAX(C13-45,$C$2)</f>
        <v/>
      </c>
      <c r="I13" s="11">
        <f>C13-1</f>
        <v/>
      </c>
      <c r="J13" s="11" t="n"/>
      <c r="K13" s="11" t="n"/>
      <c r="L13" s="6" t="inlineStr">
        <is>
          <t>45 days before opening</t>
        </is>
      </c>
    </row>
    <row r="14">
      <c r="A14" s="6" t="n">
        <v>17</v>
      </c>
      <c r="B14" s="6" t="inlineStr">
        <is>
          <t>PASIR MAS</t>
        </is>
      </c>
      <c r="C14" s="7" t="n">
        <v>46356</v>
      </c>
      <c r="D14" s="8" t="n">
        <v>450000</v>
      </c>
      <c r="E14" s="8" t="n">
        <v>0</v>
      </c>
      <c r="F14" s="9">
        <f>D14-E14</f>
        <v/>
      </c>
      <c r="G14" s="10" t="n">
        <v>1</v>
      </c>
      <c r="H14" s="11">
        <f>MAX(C14-45,$C$2)</f>
        <v/>
      </c>
      <c r="I14" s="11">
        <f>C14-1</f>
        <v/>
      </c>
      <c r="J14" s="11" t="n"/>
      <c r="K14" s="11" t="n"/>
      <c r="L14" s="6" t="inlineStr">
        <is>
          <t>45 days before opening</t>
        </is>
      </c>
    </row>
    <row r="15">
      <c r="A15" s="6" t="n">
        <v>18</v>
      </c>
      <c r="B15" s="6" t="inlineStr">
        <is>
          <t>KEMAMAN</t>
        </is>
      </c>
      <c r="C15" s="7" t="n">
        <v>46363</v>
      </c>
      <c r="D15" s="8" t="n">
        <v>450000</v>
      </c>
      <c r="E15" s="8" t="n">
        <v>0</v>
      </c>
      <c r="F15" s="9">
        <f>D15-E15</f>
        <v/>
      </c>
      <c r="G15" s="10" t="n">
        <v>1</v>
      </c>
      <c r="H15" s="11">
        <f>MAX(C15-45,$C$2)</f>
        <v/>
      </c>
      <c r="I15" s="11">
        <f>C15-1</f>
        <v/>
      </c>
      <c r="J15" s="11" t="n"/>
      <c r="K15" s="11" t="n"/>
      <c r="L15" s="6" t="inlineStr">
        <is>
          <t>45 days before opening</t>
        </is>
      </c>
    </row>
    <row r="16">
      <c r="A16" s="6" t="n">
        <v>19</v>
      </c>
      <c r="B16" s="6" t="inlineStr">
        <is>
          <t>CHANGLUN</t>
        </is>
      </c>
      <c r="C16" s="7" t="n">
        <v>46365</v>
      </c>
      <c r="D16" s="8" t="n">
        <v>450000</v>
      </c>
      <c r="E16" s="8" t="n">
        <v>0</v>
      </c>
      <c r="F16" s="9">
        <f>D16-E16</f>
        <v/>
      </c>
      <c r="G16" s="10" t="n">
        <v>1</v>
      </c>
      <c r="H16" s="11">
        <f>MAX(C16-45,$C$2)</f>
        <v/>
      </c>
      <c r="I16" s="11">
        <f>C16-1</f>
        <v/>
      </c>
      <c r="J16" s="11" t="n"/>
      <c r="K16" s="11" t="n"/>
      <c r="L16" s="6" t="inlineStr">
        <is>
          <t>45 days before opening</t>
        </is>
      </c>
    </row>
    <row r="17">
      <c r="A17" s="6" t="n">
        <v>20</v>
      </c>
      <c r="B17" s="6" t="inlineStr">
        <is>
          <t>MUAR</t>
        </is>
      </c>
      <c r="C17" s="7" t="n">
        <v>46371</v>
      </c>
      <c r="D17" s="8" t="n">
        <v>450000</v>
      </c>
      <c r="E17" s="8" t="n">
        <v>0</v>
      </c>
      <c r="F17" s="9">
        <f>D17-E17</f>
        <v/>
      </c>
      <c r="G17" s="10" t="n">
        <v>1</v>
      </c>
      <c r="H17" s="11">
        <f>MAX(C17-45,$C$2)</f>
        <v/>
      </c>
      <c r="I17" s="11">
        <f>C17-1</f>
        <v/>
      </c>
      <c r="J17" s="11" t="n"/>
      <c r="K17" s="11" t="n"/>
      <c r="L17" s="6" t="inlineStr">
        <is>
          <t>45 days before opening</t>
        </is>
      </c>
    </row>
    <row r="18">
      <c r="B18" s="12" t="inlineStr">
        <is>
          <t>TOTAL</t>
        </is>
      </c>
      <c r="D18" s="13">
        <f>SUM(D7:D17)</f>
        <v/>
      </c>
      <c r="E18" s="13">
        <f>SUM(E7:E17)</f>
        <v/>
      </c>
      <c r="F18" s="13">
        <f>SUM(F7:F17)</f>
        <v/>
      </c>
    </row>
    <row r="20">
      <c r="A20" s="4" t="inlineStr">
        <is>
          <t>Not included: #21 ICOMSRWK (grand opening TBD) – add a row when the date is confirmed (RM450,000).</t>
        </is>
      </c>
    </row>
    <row r="21">
      <c r="A21" s="4" t="inlineStr">
        <is>
          <t>Source: grand opening dates, costs (RM650k for #10–12, RM450k for #13–20) and amounts paid to Sep were provided by the user.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3" customWidth="1" min="20" max="20"/>
    <col width="11" customWidth="1" min="21" max="21"/>
    <col width="11" customWidth="1" min="22" max="22"/>
    <col width="11" customWidth="1" min="23" max="23"/>
  </cols>
  <sheetData>
    <row r="1">
      <c r="A1" s="1" t="inlineStr">
        <is>
          <t>Weekly Payment Timeline – 1 Oct to 31 Dec 2026 (RM)</t>
        </is>
      </c>
    </row>
    <row r="2">
      <c r="A2" s="4" t="inlineStr">
        <is>
          <t>All figures are formulas driven by the Inputs sheet. Cost is spread evenly per day across each payment window, then summed by week (Mon–Sun) and by month.</t>
        </is>
      </c>
    </row>
    <row r="3">
      <c r="U3" s="12" t="inlineStr">
        <is>
          <t>Monthly summary</t>
        </is>
      </c>
    </row>
    <row r="4">
      <c r="A4" s="14" t="inlineStr">
        <is>
          <t>No</t>
        </is>
      </c>
      <c r="B4" s="14" t="inlineStr">
        <is>
          <t>Outlet</t>
        </is>
      </c>
      <c r="C4" s="14" t="inlineStr">
        <is>
          <t>Balance (RM)</t>
        </is>
      </c>
      <c r="D4" s="14" t="inlineStr">
        <is>
          <t>Wk 1</t>
        </is>
      </c>
      <c r="E4" s="14" t="inlineStr">
        <is>
          <t>Wk 2</t>
        </is>
      </c>
      <c r="F4" s="14" t="inlineStr">
        <is>
          <t>Wk 3</t>
        </is>
      </c>
      <c r="G4" s="14" t="inlineStr">
        <is>
          <t>Wk 4</t>
        </is>
      </c>
      <c r="H4" s="14" t="inlineStr">
        <is>
          <t>Wk 5</t>
        </is>
      </c>
      <c r="I4" s="14" t="inlineStr">
        <is>
          <t>Wk 6</t>
        </is>
      </c>
      <c r="J4" s="14" t="inlineStr">
        <is>
          <t>Wk 7</t>
        </is>
      </c>
      <c r="K4" s="14" t="inlineStr">
        <is>
          <t>Wk 8</t>
        </is>
      </c>
      <c r="L4" s="14" t="inlineStr">
        <is>
          <t>Wk 9</t>
        </is>
      </c>
      <c r="M4" s="14" t="inlineStr">
        <is>
          <t>Wk 10</t>
        </is>
      </c>
      <c r="N4" s="14" t="inlineStr">
        <is>
          <t>Wk 11</t>
        </is>
      </c>
      <c r="O4" s="14" t="inlineStr">
        <is>
          <t>Wk 12</t>
        </is>
      </c>
      <c r="P4" s="14" t="inlineStr">
        <is>
          <t>Wk 13</t>
        </is>
      </c>
      <c r="Q4" s="14" t="inlineStr">
        <is>
          <t>Wk 14</t>
        </is>
      </c>
      <c r="R4" s="14" t="inlineStr">
        <is>
          <t>Total Oct–Dec</t>
        </is>
      </c>
      <c r="S4" s="14" t="inlineStr">
        <is>
          <t>Check vs balance</t>
        </is>
      </c>
      <c r="U4" s="14" t="inlineStr">
        <is>
          <t>Oct-26</t>
        </is>
      </c>
      <c r="V4" s="14" t="inlineStr">
        <is>
          <t>Nov-26</t>
        </is>
      </c>
      <c r="W4" s="14" t="inlineStr">
        <is>
          <t>Dec-26</t>
        </is>
      </c>
    </row>
    <row r="5">
      <c r="A5" s="15" t="n"/>
      <c r="B5" s="15" t="inlineStr">
        <is>
          <t>Week start</t>
        </is>
      </c>
      <c r="C5" s="15" t="n"/>
      <c r="D5" s="16">
        <f>Inputs!$C$2</f>
        <v/>
      </c>
      <c r="E5" s="16">
        <f>D6+1</f>
        <v/>
      </c>
      <c r="F5" s="16">
        <f>E6+1</f>
        <v/>
      </c>
      <c r="G5" s="16">
        <f>F6+1</f>
        <v/>
      </c>
      <c r="H5" s="16">
        <f>G6+1</f>
        <v/>
      </c>
      <c r="I5" s="16">
        <f>H6+1</f>
        <v/>
      </c>
      <c r="J5" s="16">
        <f>I6+1</f>
        <v/>
      </c>
      <c r="K5" s="16">
        <f>J6+1</f>
        <v/>
      </c>
      <c r="L5" s="16">
        <f>K6+1</f>
        <v/>
      </c>
      <c r="M5" s="16">
        <f>L6+1</f>
        <v/>
      </c>
      <c r="N5" s="16">
        <f>M6+1</f>
        <v/>
      </c>
      <c r="O5" s="16">
        <f>N6+1</f>
        <v/>
      </c>
      <c r="P5" s="16">
        <f>O6+1</f>
        <v/>
      </c>
      <c r="Q5" s="16">
        <f>P6+1</f>
        <v/>
      </c>
      <c r="R5" s="16" t="n"/>
      <c r="S5" s="16" t="n"/>
      <c r="U5" s="17" t="n">
        <v>46296</v>
      </c>
      <c r="V5" s="17" t="n">
        <v>46327</v>
      </c>
      <c r="W5" s="17" t="n">
        <v>46357</v>
      </c>
    </row>
    <row r="6">
      <c r="A6" s="15" t="n"/>
      <c r="B6" s="15" t="inlineStr">
        <is>
          <t>Week end</t>
        </is>
      </c>
      <c r="C6" s="15" t="n"/>
      <c r="D6" s="16">
        <f>D5+6-MOD(D5-2,7)</f>
        <v/>
      </c>
      <c r="E6" s="16">
        <f>MIN(E5+6,Inputs!$C$3)</f>
        <v/>
      </c>
      <c r="F6" s="16">
        <f>MIN(F5+6,Inputs!$C$3)</f>
        <v/>
      </c>
      <c r="G6" s="16">
        <f>MIN(G5+6,Inputs!$C$3)</f>
        <v/>
      </c>
      <c r="H6" s="16">
        <f>MIN(H5+6,Inputs!$C$3)</f>
        <v/>
      </c>
      <c r="I6" s="16">
        <f>MIN(I5+6,Inputs!$C$3)</f>
        <v/>
      </c>
      <c r="J6" s="16">
        <f>MIN(J5+6,Inputs!$C$3)</f>
        <v/>
      </c>
      <c r="K6" s="16">
        <f>MIN(K5+6,Inputs!$C$3)</f>
        <v/>
      </c>
      <c r="L6" s="16">
        <f>MIN(L5+6,Inputs!$C$3)</f>
        <v/>
      </c>
      <c r="M6" s="16">
        <f>MIN(M5+6,Inputs!$C$3)</f>
        <v/>
      </c>
      <c r="N6" s="16">
        <f>MIN(N5+6,Inputs!$C$3)</f>
        <v/>
      </c>
      <c r="O6" s="16">
        <f>MIN(O5+6,Inputs!$C$3)</f>
        <v/>
      </c>
      <c r="P6" s="16">
        <f>MIN(P5+6,Inputs!$C$3)</f>
        <v/>
      </c>
      <c r="Q6" s="16">
        <f>MIN(Q5+6,Inputs!$C$3)</f>
        <v/>
      </c>
      <c r="R6" s="16" t="n"/>
      <c r="S6" s="16" t="n"/>
      <c r="U6" s="17" t="n">
        <v>46326</v>
      </c>
      <c r="V6" s="17" t="n">
        <v>46356</v>
      </c>
      <c r="W6" s="17" t="n">
        <v>46387</v>
      </c>
    </row>
    <row r="7">
      <c r="A7" s="18">
        <f>Inputs!A7</f>
        <v/>
      </c>
      <c r="B7" s="18">
        <f>Inputs!B7</f>
        <v/>
      </c>
      <c r="C7" s="19">
        <f>Inputs!F7</f>
        <v/>
      </c>
      <c r="D7" s="9">
        <f>IF(Inputs!$F$7*Inputs!$G$7=0,0,Inputs!$F$7*Inputs!$G$7*MAX(0,MIN(D$6,Inputs!$I$7)-MAX(D$5,Inputs!$H$7)+1)/(Inputs!$I$7-Inputs!$H$7+1))+IF(Inputs!$F$7*(1-Inputs!$G$7)=0,0,Inputs!$F$7*(1-Inputs!$G$7)*MAX(0,MIN(D$6,Inputs!$K$7)-MAX(D$5,Inputs!$J$7)+1)/(Inputs!$K$7-Inputs!$J$7+1))</f>
        <v/>
      </c>
      <c r="E7" s="9">
        <f>IF(Inputs!$F$7*Inputs!$G$7=0,0,Inputs!$F$7*Inputs!$G$7*MAX(0,MIN(E$6,Inputs!$I$7)-MAX(E$5,Inputs!$H$7)+1)/(Inputs!$I$7-Inputs!$H$7+1))+IF(Inputs!$F$7*(1-Inputs!$G$7)=0,0,Inputs!$F$7*(1-Inputs!$G$7)*MAX(0,MIN(E$6,Inputs!$K$7)-MAX(E$5,Inputs!$J$7)+1)/(Inputs!$K$7-Inputs!$J$7+1))</f>
        <v/>
      </c>
      <c r="F7" s="9">
        <f>IF(Inputs!$F$7*Inputs!$G$7=0,0,Inputs!$F$7*Inputs!$G$7*MAX(0,MIN(F$6,Inputs!$I$7)-MAX(F$5,Inputs!$H$7)+1)/(Inputs!$I$7-Inputs!$H$7+1))+IF(Inputs!$F$7*(1-Inputs!$G$7)=0,0,Inputs!$F$7*(1-Inputs!$G$7)*MAX(0,MIN(F$6,Inputs!$K$7)-MAX(F$5,Inputs!$J$7)+1)/(Inputs!$K$7-Inputs!$J$7+1))</f>
        <v/>
      </c>
      <c r="G7" s="9">
        <f>IF(Inputs!$F$7*Inputs!$G$7=0,0,Inputs!$F$7*Inputs!$G$7*MAX(0,MIN(G$6,Inputs!$I$7)-MAX(G$5,Inputs!$H$7)+1)/(Inputs!$I$7-Inputs!$H$7+1))+IF(Inputs!$F$7*(1-Inputs!$G$7)=0,0,Inputs!$F$7*(1-Inputs!$G$7)*MAX(0,MIN(G$6,Inputs!$K$7)-MAX(G$5,Inputs!$J$7)+1)/(Inputs!$K$7-Inputs!$J$7+1))</f>
        <v/>
      </c>
      <c r="H7" s="9">
        <f>IF(Inputs!$F$7*Inputs!$G$7=0,0,Inputs!$F$7*Inputs!$G$7*MAX(0,MIN(H$6,Inputs!$I$7)-MAX(H$5,Inputs!$H$7)+1)/(Inputs!$I$7-Inputs!$H$7+1))+IF(Inputs!$F$7*(1-Inputs!$G$7)=0,0,Inputs!$F$7*(1-Inputs!$G$7)*MAX(0,MIN(H$6,Inputs!$K$7)-MAX(H$5,Inputs!$J$7)+1)/(Inputs!$K$7-Inputs!$J$7+1))</f>
        <v/>
      </c>
      <c r="I7" s="9">
        <f>IF(Inputs!$F$7*Inputs!$G$7=0,0,Inputs!$F$7*Inputs!$G$7*MAX(0,MIN(I$6,Inputs!$I$7)-MAX(I$5,Inputs!$H$7)+1)/(Inputs!$I$7-Inputs!$H$7+1))+IF(Inputs!$F$7*(1-Inputs!$G$7)=0,0,Inputs!$F$7*(1-Inputs!$G$7)*MAX(0,MIN(I$6,Inputs!$K$7)-MAX(I$5,Inputs!$J$7)+1)/(Inputs!$K$7-Inputs!$J$7+1))</f>
        <v/>
      </c>
      <c r="J7" s="9">
        <f>IF(Inputs!$F$7*Inputs!$G$7=0,0,Inputs!$F$7*Inputs!$G$7*MAX(0,MIN(J$6,Inputs!$I$7)-MAX(J$5,Inputs!$H$7)+1)/(Inputs!$I$7-Inputs!$H$7+1))+IF(Inputs!$F$7*(1-Inputs!$G$7)=0,0,Inputs!$F$7*(1-Inputs!$G$7)*MAX(0,MIN(J$6,Inputs!$K$7)-MAX(J$5,Inputs!$J$7)+1)/(Inputs!$K$7-Inputs!$J$7+1))</f>
        <v/>
      </c>
      <c r="K7" s="9">
        <f>IF(Inputs!$F$7*Inputs!$G$7=0,0,Inputs!$F$7*Inputs!$G$7*MAX(0,MIN(K$6,Inputs!$I$7)-MAX(K$5,Inputs!$H$7)+1)/(Inputs!$I$7-Inputs!$H$7+1))+IF(Inputs!$F$7*(1-Inputs!$G$7)=0,0,Inputs!$F$7*(1-Inputs!$G$7)*MAX(0,MIN(K$6,Inputs!$K$7)-MAX(K$5,Inputs!$J$7)+1)/(Inputs!$K$7-Inputs!$J$7+1))</f>
        <v/>
      </c>
      <c r="L7" s="9">
        <f>IF(Inputs!$F$7*Inputs!$G$7=0,0,Inputs!$F$7*Inputs!$G$7*MAX(0,MIN(L$6,Inputs!$I$7)-MAX(L$5,Inputs!$H$7)+1)/(Inputs!$I$7-Inputs!$H$7+1))+IF(Inputs!$F$7*(1-Inputs!$G$7)=0,0,Inputs!$F$7*(1-Inputs!$G$7)*MAX(0,MIN(L$6,Inputs!$K$7)-MAX(L$5,Inputs!$J$7)+1)/(Inputs!$K$7-Inputs!$J$7+1))</f>
        <v/>
      </c>
      <c r="M7" s="9">
        <f>IF(Inputs!$F$7*Inputs!$G$7=0,0,Inputs!$F$7*Inputs!$G$7*MAX(0,MIN(M$6,Inputs!$I$7)-MAX(M$5,Inputs!$H$7)+1)/(Inputs!$I$7-Inputs!$H$7+1))+IF(Inputs!$F$7*(1-Inputs!$G$7)=0,0,Inputs!$F$7*(1-Inputs!$G$7)*MAX(0,MIN(M$6,Inputs!$K$7)-MAX(M$5,Inputs!$J$7)+1)/(Inputs!$K$7-Inputs!$J$7+1))</f>
        <v/>
      </c>
      <c r="N7" s="9">
        <f>IF(Inputs!$F$7*Inputs!$G$7=0,0,Inputs!$F$7*Inputs!$G$7*MAX(0,MIN(N$6,Inputs!$I$7)-MAX(N$5,Inputs!$H$7)+1)/(Inputs!$I$7-Inputs!$H$7+1))+IF(Inputs!$F$7*(1-Inputs!$G$7)=0,0,Inputs!$F$7*(1-Inputs!$G$7)*MAX(0,MIN(N$6,Inputs!$K$7)-MAX(N$5,Inputs!$J$7)+1)/(Inputs!$K$7-Inputs!$J$7+1))</f>
        <v/>
      </c>
      <c r="O7" s="9">
        <f>IF(Inputs!$F$7*Inputs!$G$7=0,0,Inputs!$F$7*Inputs!$G$7*MAX(0,MIN(O$6,Inputs!$I$7)-MAX(O$5,Inputs!$H$7)+1)/(Inputs!$I$7-Inputs!$H$7+1))+IF(Inputs!$F$7*(1-Inputs!$G$7)=0,0,Inputs!$F$7*(1-Inputs!$G$7)*MAX(0,MIN(O$6,Inputs!$K$7)-MAX(O$5,Inputs!$J$7)+1)/(Inputs!$K$7-Inputs!$J$7+1))</f>
        <v/>
      </c>
      <c r="P7" s="9">
        <f>IF(Inputs!$F$7*Inputs!$G$7=0,0,Inputs!$F$7*Inputs!$G$7*MAX(0,MIN(P$6,Inputs!$I$7)-MAX(P$5,Inputs!$H$7)+1)/(Inputs!$I$7-Inputs!$H$7+1))+IF(Inputs!$F$7*(1-Inputs!$G$7)=0,0,Inputs!$F$7*(1-Inputs!$G$7)*MAX(0,MIN(P$6,Inputs!$K$7)-MAX(P$5,Inputs!$J$7)+1)/(Inputs!$K$7-Inputs!$J$7+1))</f>
        <v/>
      </c>
      <c r="Q7" s="9">
        <f>IF(Inputs!$F$7*Inputs!$G$7=0,0,Inputs!$F$7*Inputs!$G$7*MAX(0,MIN(Q$6,Inputs!$I$7)-MAX(Q$5,Inputs!$H$7)+1)/(Inputs!$I$7-Inputs!$H$7+1))+IF(Inputs!$F$7*(1-Inputs!$G$7)=0,0,Inputs!$F$7*(1-Inputs!$G$7)*MAX(0,MIN(Q$6,Inputs!$K$7)-MAX(Q$5,Inputs!$J$7)+1)/(Inputs!$K$7-Inputs!$J$7+1))</f>
        <v/>
      </c>
      <c r="R7" s="9">
        <f>SUM(D7:Q7)</f>
        <v/>
      </c>
      <c r="S7" s="9">
        <f>R7-C7</f>
        <v/>
      </c>
      <c r="U7" s="9">
        <f>IF(Inputs!$F$7*Inputs!$G$7=0,0,Inputs!$F$7*Inputs!$G$7*MAX(0,MIN(U$6,Inputs!$I$7)-MAX(U$5,Inputs!$H$7)+1)/(Inputs!$I$7-Inputs!$H$7+1))+IF(Inputs!$F$7*(1-Inputs!$G$7)=0,0,Inputs!$F$7*(1-Inputs!$G$7)*MAX(0,MIN(U$6,Inputs!$K$7)-MAX(U$5,Inputs!$J$7)+1)/(Inputs!$K$7-Inputs!$J$7+1))</f>
        <v/>
      </c>
      <c r="V7" s="9">
        <f>IF(Inputs!$F$7*Inputs!$G$7=0,0,Inputs!$F$7*Inputs!$G$7*MAX(0,MIN(V$6,Inputs!$I$7)-MAX(V$5,Inputs!$H$7)+1)/(Inputs!$I$7-Inputs!$H$7+1))+IF(Inputs!$F$7*(1-Inputs!$G$7)=0,0,Inputs!$F$7*(1-Inputs!$G$7)*MAX(0,MIN(V$6,Inputs!$K$7)-MAX(V$5,Inputs!$J$7)+1)/(Inputs!$K$7-Inputs!$J$7+1))</f>
        <v/>
      </c>
      <c r="W7" s="9">
        <f>IF(Inputs!$F$7*Inputs!$G$7=0,0,Inputs!$F$7*Inputs!$G$7*MAX(0,MIN(W$6,Inputs!$I$7)-MAX(W$5,Inputs!$H$7)+1)/(Inputs!$I$7-Inputs!$H$7+1))+IF(Inputs!$F$7*(1-Inputs!$G$7)=0,0,Inputs!$F$7*(1-Inputs!$G$7)*MAX(0,MIN(W$6,Inputs!$K$7)-MAX(W$5,Inputs!$J$7)+1)/(Inputs!$K$7-Inputs!$J$7+1))</f>
        <v/>
      </c>
    </row>
    <row r="8">
      <c r="A8" s="18">
        <f>Inputs!A8</f>
        <v/>
      </c>
      <c r="B8" s="18">
        <f>Inputs!B8</f>
        <v/>
      </c>
      <c r="C8" s="19">
        <f>Inputs!F8</f>
        <v/>
      </c>
      <c r="D8" s="9">
        <f>IF(Inputs!$F$8*Inputs!$G$8=0,0,Inputs!$F$8*Inputs!$G$8*MAX(0,MIN(D$6,Inputs!$I$8)-MAX(D$5,Inputs!$H$8)+1)/(Inputs!$I$8-Inputs!$H$8+1))+IF(Inputs!$F$8*(1-Inputs!$G$8)=0,0,Inputs!$F$8*(1-Inputs!$G$8)*MAX(0,MIN(D$6,Inputs!$K$8)-MAX(D$5,Inputs!$J$8)+1)/(Inputs!$K$8-Inputs!$J$8+1))</f>
        <v/>
      </c>
      <c r="E8" s="9">
        <f>IF(Inputs!$F$8*Inputs!$G$8=0,0,Inputs!$F$8*Inputs!$G$8*MAX(0,MIN(E$6,Inputs!$I$8)-MAX(E$5,Inputs!$H$8)+1)/(Inputs!$I$8-Inputs!$H$8+1))+IF(Inputs!$F$8*(1-Inputs!$G$8)=0,0,Inputs!$F$8*(1-Inputs!$G$8)*MAX(0,MIN(E$6,Inputs!$K$8)-MAX(E$5,Inputs!$J$8)+1)/(Inputs!$K$8-Inputs!$J$8+1))</f>
        <v/>
      </c>
      <c r="F8" s="9">
        <f>IF(Inputs!$F$8*Inputs!$G$8=0,0,Inputs!$F$8*Inputs!$G$8*MAX(0,MIN(F$6,Inputs!$I$8)-MAX(F$5,Inputs!$H$8)+1)/(Inputs!$I$8-Inputs!$H$8+1))+IF(Inputs!$F$8*(1-Inputs!$G$8)=0,0,Inputs!$F$8*(1-Inputs!$G$8)*MAX(0,MIN(F$6,Inputs!$K$8)-MAX(F$5,Inputs!$J$8)+1)/(Inputs!$K$8-Inputs!$J$8+1))</f>
        <v/>
      </c>
      <c r="G8" s="9">
        <f>IF(Inputs!$F$8*Inputs!$G$8=0,0,Inputs!$F$8*Inputs!$G$8*MAX(0,MIN(G$6,Inputs!$I$8)-MAX(G$5,Inputs!$H$8)+1)/(Inputs!$I$8-Inputs!$H$8+1))+IF(Inputs!$F$8*(1-Inputs!$G$8)=0,0,Inputs!$F$8*(1-Inputs!$G$8)*MAX(0,MIN(G$6,Inputs!$K$8)-MAX(G$5,Inputs!$J$8)+1)/(Inputs!$K$8-Inputs!$J$8+1))</f>
        <v/>
      </c>
      <c r="H8" s="9">
        <f>IF(Inputs!$F$8*Inputs!$G$8=0,0,Inputs!$F$8*Inputs!$G$8*MAX(0,MIN(H$6,Inputs!$I$8)-MAX(H$5,Inputs!$H$8)+1)/(Inputs!$I$8-Inputs!$H$8+1))+IF(Inputs!$F$8*(1-Inputs!$G$8)=0,0,Inputs!$F$8*(1-Inputs!$G$8)*MAX(0,MIN(H$6,Inputs!$K$8)-MAX(H$5,Inputs!$J$8)+1)/(Inputs!$K$8-Inputs!$J$8+1))</f>
        <v/>
      </c>
      <c r="I8" s="9">
        <f>IF(Inputs!$F$8*Inputs!$G$8=0,0,Inputs!$F$8*Inputs!$G$8*MAX(0,MIN(I$6,Inputs!$I$8)-MAX(I$5,Inputs!$H$8)+1)/(Inputs!$I$8-Inputs!$H$8+1))+IF(Inputs!$F$8*(1-Inputs!$G$8)=0,0,Inputs!$F$8*(1-Inputs!$G$8)*MAX(0,MIN(I$6,Inputs!$K$8)-MAX(I$5,Inputs!$J$8)+1)/(Inputs!$K$8-Inputs!$J$8+1))</f>
        <v/>
      </c>
      <c r="J8" s="9">
        <f>IF(Inputs!$F$8*Inputs!$G$8=0,0,Inputs!$F$8*Inputs!$G$8*MAX(0,MIN(J$6,Inputs!$I$8)-MAX(J$5,Inputs!$H$8)+1)/(Inputs!$I$8-Inputs!$H$8+1))+IF(Inputs!$F$8*(1-Inputs!$G$8)=0,0,Inputs!$F$8*(1-Inputs!$G$8)*MAX(0,MIN(J$6,Inputs!$K$8)-MAX(J$5,Inputs!$J$8)+1)/(Inputs!$K$8-Inputs!$J$8+1))</f>
        <v/>
      </c>
      <c r="K8" s="9">
        <f>IF(Inputs!$F$8*Inputs!$G$8=0,0,Inputs!$F$8*Inputs!$G$8*MAX(0,MIN(K$6,Inputs!$I$8)-MAX(K$5,Inputs!$H$8)+1)/(Inputs!$I$8-Inputs!$H$8+1))+IF(Inputs!$F$8*(1-Inputs!$G$8)=0,0,Inputs!$F$8*(1-Inputs!$G$8)*MAX(0,MIN(K$6,Inputs!$K$8)-MAX(K$5,Inputs!$J$8)+1)/(Inputs!$K$8-Inputs!$J$8+1))</f>
        <v/>
      </c>
      <c r="L8" s="9">
        <f>IF(Inputs!$F$8*Inputs!$G$8=0,0,Inputs!$F$8*Inputs!$G$8*MAX(0,MIN(L$6,Inputs!$I$8)-MAX(L$5,Inputs!$H$8)+1)/(Inputs!$I$8-Inputs!$H$8+1))+IF(Inputs!$F$8*(1-Inputs!$G$8)=0,0,Inputs!$F$8*(1-Inputs!$G$8)*MAX(0,MIN(L$6,Inputs!$K$8)-MAX(L$5,Inputs!$J$8)+1)/(Inputs!$K$8-Inputs!$J$8+1))</f>
        <v/>
      </c>
      <c r="M8" s="9">
        <f>IF(Inputs!$F$8*Inputs!$G$8=0,0,Inputs!$F$8*Inputs!$G$8*MAX(0,MIN(M$6,Inputs!$I$8)-MAX(M$5,Inputs!$H$8)+1)/(Inputs!$I$8-Inputs!$H$8+1))+IF(Inputs!$F$8*(1-Inputs!$G$8)=0,0,Inputs!$F$8*(1-Inputs!$G$8)*MAX(0,MIN(M$6,Inputs!$K$8)-MAX(M$5,Inputs!$J$8)+1)/(Inputs!$K$8-Inputs!$J$8+1))</f>
        <v/>
      </c>
      <c r="N8" s="9">
        <f>IF(Inputs!$F$8*Inputs!$G$8=0,0,Inputs!$F$8*Inputs!$G$8*MAX(0,MIN(N$6,Inputs!$I$8)-MAX(N$5,Inputs!$H$8)+1)/(Inputs!$I$8-Inputs!$H$8+1))+IF(Inputs!$F$8*(1-Inputs!$G$8)=0,0,Inputs!$F$8*(1-Inputs!$G$8)*MAX(0,MIN(N$6,Inputs!$K$8)-MAX(N$5,Inputs!$J$8)+1)/(Inputs!$K$8-Inputs!$J$8+1))</f>
        <v/>
      </c>
      <c r="O8" s="9">
        <f>IF(Inputs!$F$8*Inputs!$G$8=0,0,Inputs!$F$8*Inputs!$G$8*MAX(0,MIN(O$6,Inputs!$I$8)-MAX(O$5,Inputs!$H$8)+1)/(Inputs!$I$8-Inputs!$H$8+1))+IF(Inputs!$F$8*(1-Inputs!$G$8)=0,0,Inputs!$F$8*(1-Inputs!$G$8)*MAX(0,MIN(O$6,Inputs!$K$8)-MAX(O$5,Inputs!$J$8)+1)/(Inputs!$K$8-Inputs!$J$8+1))</f>
        <v/>
      </c>
      <c r="P8" s="9">
        <f>IF(Inputs!$F$8*Inputs!$G$8=0,0,Inputs!$F$8*Inputs!$G$8*MAX(0,MIN(P$6,Inputs!$I$8)-MAX(P$5,Inputs!$H$8)+1)/(Inputs!$I$8-Inputs!$H$8+1))+IF(Inputs!$F$8*(1-Inputs!$G$8)=0,0,Inputs!$F$8*(1-Inputs!$G$8)*MAX(0,MIN(P$6,Inputs!$K$8)-MAX(P$5,Inputs!$J$8)+1)/(Inputs!$K$8-Inputs!$J$8+1))</f>
        <v/>
      </c>
      <c r="Q8" s="9">
        <f>IF(Inputs!$F$8*Inputs!$G$8=0,0,Inputs!$F$8*Inputs!$G$8*MAX(0,MIN(Q$6,Inputs!$I$8)-MAX(Q$5,Inputs!$H$8)+1)/(Inputs!$I$8-Inputs!$H$8+1))+IF(Inputs!$F$8*(1-Inputs!$G$8)=0,0,Inputs!$F$8*(1-Inputs!$G$8)*MAX(0,MIN(Q$6,Inputs!$K$8)-MAX(Q$5,Inputs!$J$8)+1)/(Inputs!$K$8-Inputs!$J$8+1))</f>
        <v/>
      </c>
      <c r="R8" s="9">
        <f>SUM(D8:Q8)</f>
        <v/>
      </c>
      <c r="S8" s="9">
        <f>R8-C8</f>
        <v/>
      </c>
      <c r="U8" s="9">
        <f>IF(Inputs!$F$8*Inputs!$G$8=0,0,Inputs!$F$8*Inputs!$G$8*MAX(0,MIN(U$6,Inputs!$I$8)-MAX(U$5,Inputs!$H$8)+1)/(Inputs!$I$8-Inputs!$H$8+1))+IF(Inputs!$F$8*(1-Inputs!$G$8)=0,0,Inputs!$F$8*(1-Inputs!$G$8)*MAX(0,MIN(U$6,Inputs!$K$8)-MAX(U$5,Inputs!$J$8)+1)/(Inputs!$K$8-Inputs!$J$8+1))</f>
        <v/>
      </c>
      <c r="V8" s="9">
        <f>IF(Inputs!$F$8*Inputs!$G$8=0,0,Inputs!$F$8*Inputs!$G$8*MAX(0,MIN(V$6,Inputs!$I$8)-MAX(V$5,Inputs!$H$8)+1)/(Inputs!$I$8-Inputs!$H$8+1))+IF(Inputs!$F$8*(1-Inputs!$G$8)=0,0,Inputs!$F$8*(1-Inputs!$G$8)*MAX(0,MIN(V$6,Inputs!$K$8)-MAX(V$5,Inputs!$J$8)+1)/(Inputs!$K$8-Inputs!$J$8+1))</f>
        <v/>
      </c>
      <c r="W8" s="9">
        <f>IF(Inputs!$F$8*Inputs!$G$8=0,0,Inputs!$F$8*Inputs!$G$8*MAX(0,MIN(W$6,Inputs!$I$8)-MAX(W$5,Inputs!$H$8)+1)/(Inputs!$I$8-Inputs!$H$8+1))+IF(Inputs!$F$8*(1-Inputs!$G$8)=0,0,Inputs!$F$8*(1-Inputs!$G$8)*MAX(0,MIN(W$6,Inputs!$K$8)-MAX(W$5,Inputs!$J$8)+1)/(Inputs!$K$8-Inputs!$J$8+1))</f>
        <v/>
      </c>
    </row>
    <row r="9">
      <c r="A9" s="18">
        <f>Inputs!A9</f>
        <v/>
      </c>
      <c r="B9" s="18">
        <f>Inputs!B9</f>
        <v/>
      </c>
      <c r="C9" s="19">
        <f>Inputs!F9</f>
        <v/>
      </c>
      <c r="D9" s="9">
        <f>IF(Inputs!$F$9*Inputs!$G$9=0,0,Inputs!$F$9*Inputs!$G$9*MAX(0,MIN(D$6,Inputs!$I$9)-MAX(D$5,Inputs!$H$9)+1)/(Inputs!$I$9-Inputs!$H$9+1))+IF(Inputs!$F$9*(1-Inputs!$G$9)=0,0,Inputs!$F$9*(1-Inputs!$G$9)*MAX(0,MIN(D$6,Inputs!$K$9)-MAX(D$5,Inputs!$J$9)+1)/(Inputs!$K$9-Inputs!$J$9+1))</f>
        <v/>
      </c>
      <c r="E9" s="9">
        <f>IF(Inputs!$F$9*Inputs!$G$9=0,0,Inputs!$F$9*Inputs!$G$9*MAX(0,MIN(E$6,Inputs!$I$9)-MAX(E$5,Inputs!$H$9)+1)/(Inputs!$I$9-Inputs!$H$9+1))+IF(Inputs!$F$9*(1-Inputs!$G$9)=0,0,Inputs!$F$9*(1-Inputs!$G$9)*MAX(0,MIN(E$6,Inputs!$K$9)-MAX(E$5,Inputs!$J$9)+1)/(Inputs!$K$9-Inputs!$J$9+1))</f>
        <v/>
      </c>
      <c r="F9" s="9">
        <f>IF(Inputs!$F$9*Inputs!$G$9=0,0,Inputs!$F$9*Inputs!$G$9*MAX(0,MIN(F$6,Inputs!$I$9)-MAX(F$5,Inputs!$H$9)+1)/(Inputs!$I$9-Inputs!$H$9+1))+IF(Inputs!$F$9*(1-Inputs!$G$9)=0,0,Inputs!$F$9*(1-Inputs!$G$9)*MAX(0,MIN(F$6,Inputs!$K$9)-MAX(F$5,Inputs!$J$9)+1)/(Inputs!$K$9-Inputs!$J$9+1))</f>
        <v/>
      </c>
      <c r="G9" s="9">
        <f>IF(Inputs!$F$9*Inputs!$G$9=0,0,Inputs!$F$9*Inputs!$G$9*MAX(0,MIN(G$6,Inputs!$I$9)-MAX(G$5,Inputs!$H$9)+1)/(Inputs!$I$9-Inputs!$H$9+1))+IF(Inputs!$F$9*(1-Inputs!$G$9)=0,0,Inputs!$F$9*(1-Inputs!$G$9)*MAX(0,MIN(G$6,Inputs!$K$9)-MAX(G$5,Inputs!$J$9)+1)/(Inputs!$K$9-Inputs!$J$9+1))</f>
        <v/>
      </c>
      <c r="H9" s="9">
        <f>IF(Inputs!$F$9*Inputs!$G$9=0,0,Inputs!$F$9*Inputs!$G$9*MAX(0,MIN(H$6,Inputs!$I$9)-MAX(H$5,Inputs!$H$9)+1)/(Inputs!$I$9-Inputs!$H$9+1))+IF(Inputs!$F$9*(1-Inputs!$G$9)=0,0,Inputs!$F$9*(1-Inputs!$G$9)*MAX(0,MIN(H$6,Inputs!$K$9)-MAX(H$5,Inputs!$J$9)+1)/(Inputs!$K$9-Inputs!$J$9+1))</f>
        <v/>
      </c>
      <c r="I9" s="9">
        <f>IF(Inputs!$F$9*Inputs!$G$9=0,0,Inputs!$F$9*Inputs!$G$9*MAX(0,MIN(I$6,Inputs!$I$9)-MAX(I$5,Inputs!$H$9)+1)/(Inputs!$I$9-Inputs!$H$9+1))+IF(Inputs!$F$9*(1-Inputs!$G$9)=0,0,Inputs!$F$9*(1-Inputs!$G$9)*MAX(0,MIN(I$6,Inputs!$K$9)-MAX(I$5,Inputs!$J$9)+1)/(Inputs!$K$9-Inputs!$J$9+1))</f>
        <v/>
      </c>
      <c r="J9" s="9">
        <f>IF(Inputs!$F$9*Inputs!$G$9=0,0,Inputs!$F$9*Inputs!$G$9*MAX(0,MIN(J$6,Inputs!$I$9)-MAX(J$5,Inputs!$H$9)+1)/(Inputs!$I$9-Inputs!$H$9+1))+IF(Inputs!$F$9*(1-Inputs!$G$9)=0,0,Inputs!$F$9*(1-Inputs!$G$9)*MAX(0,MIN(J$6,Inputs!$K$9)-MAX(J$5,Inputs!$J$9)+1)/(Inputs!$K$9-Inputs!$J$9+1))</f>
        <v/>
      </c>
      <c r="K9" s="9">
        <f>IF(Inputs!$F$9*Inputs!$G$9=0,0,Inputs!$F$9*Inputs!$G$9*MAX(0,MIN(K$6,Inputs!$I$9)-MAX(K$5,Inputs!$H$9)+1)/(Inputs!$I$9-Inputs!$H$9+1))+IF(Inputs!$F$9*(1-Inputs!$G$9)=0,0,Inputs!$F$9*(1-Inputs!$G$9)*MAX(0,MIN(K$6,Inputs!$K$9)-MAX(K$5,Inputs!$J$9)+1)/(Inputs!$K$9-Inputs!$J$9+1))</f>
        <v/>
      </c>
      <c r="L9" s="9">
        <f>IF(Inputs!$F$9*Inputs!$G$9=0,0,Inputs!$F$9*Inputs!$G$9*MAX(0,MIN(L$6,Inputs!$I$9)-MAX(L$5,Inputs!$H$9)+1)/(Inputs!$I$9-Inputs!$H$9+1))+IF(Inputs!$F$9*(1-Inputs!$G$9)=0,0,Inputs!$F$9*(1-Inputs!$G$9)*MAX(0,MIN(L$6,Inputs!$K$9)-MAX(L$5,Inputs!$J$9)+1)/(Inputs!$K$9-Inputs!$J$9+1))</f>
        <v/>
      </c>
      <c r="M9" s="9">
        <f>IF(Inputs!$F$9*Inputs!$G$9=0,0,Inputs!$F$9*Inputs!$G$9*MAX(0,MIN(M$6,Inputs!$I$9)-MAX(M$5,Inputs!$H$9)+1)/(Inputs!$I$9-Inputs!$H$9+1))+IF(Inputs!$F$9*(1-Inputs!$G$9)=0,0,Inputs!$F$9*(1-Inputs!$G$9)*MAX(0,MIN(M$6,Inputs!$K$9)-MAX(M$5,Inputs!$J$9)+1)/(Inputs!$K$9-Inputs!$J$9+1))</f>
        <v/>
      </c>
      <c r="N9" s="9">
        <f>IF(Inputs!$F$9*Inputs!$G$9=0,0,Inputs!$F$9*Inputs!$G$9*MAX(0,MIN(N$6,Inputs!$I$9)-MAX(N$5,Inputs!$H$9)+1)/(Inputs!$I$9-Inputs!$H$9+1))+IF(Inputs!$F$9*(1-Inputs!$G$9)=0,0,Inputs!$F$9*(1-Inputs!$G$9)*MAX(0,MIN(N$6,Inputs!$K$9)-MAX(N$5,Inputs!$J$9)+1)/(Inputs!$K$9-Inputs!$J$9+1))</f>
        <v/>
      </c>
      <c r="O9" s="9">
        <f>IF(Inputs!$F$9*Inputs!$G$9=0,0,Inputs!$F$9*Inputs!$G$9*MAX(0,MIN(O$6,Inputs!$I$9)-MAX(O$5,Inputs!$H$9)+1)/(Inputs!$I$9-Inputs!$H$9+1))+IF(Inputs!$F$9*(1-Inputs!$G$9)=0,0,Inputs!$F$9*(1-Inputs!$G$9)*MAX(0,MIN(O$6,Inputs!$K$9)-MAX(O$5,Inputs!$J$9)+1)/(Inputs!$K$9-Inputs!$J$9+1))</f>
        <v/>
      </c>
      <c r="P9" s="9">
        <f>IF(Inputs!$F$9*Inputs!$G$9=0,0,Inputs!$F$9*Inputs!$G$9*MAX(0,MIN(P$6,Inputs!$I$9)-MAX(P$5,Inputs!$H$9)+1)/(Inputs!$I$9-Inputs!$H$9+1))+IF(Inputs!$F$9*(1-Inputs!$G$9)=0,0,Inputs!$F$9*(1-Inputs!$G$9)*MAX(0,MIN(P$6,Inputs!$K$9)-MAX(P$5,Inputs!$J$9)+1)/(Inputs!$K$9-Inputs!$J$9+1))</f>
        <v/>
      </c>
      <c r="Q9" s="9">
        <f>IF(Inputs!$F$9*Inputs!$G$9=0,0,Inputs!$F$9*Inputs!$G$9*MAX(0,MIN(Q$6,Inputs!$I$9)-MAX(Q$5,Inputs!$H$9)+1)/(Inputs!$I$9-Inputs!$H$9+1))+IF(Inputs!$F$9*(1-Inputs!$G$9)=0,0,Inputs!$F$9*(1-Inputs!$G$9)*MAX(0,MIN(Q$6,Inputs!$K$9)-MAX(Q$5,Inputs!$J$9)+1)/(Inputs!$K$9-Inputs!$J$9+1))</f>
        <v/>
      </c>
      <c r="R9" s="9">
        <f>SUM(D9:Q9)</f>
        <v/>
      </c>
      <c r="S9" s="9">
        <f>R9-C9</f>
        <v/>
      </c>
      <c r="U9" s="9">
        <f>IF(Inputs!$F$9*Inputs!$G$9=0,0,Inputs!$F$9*Inputs!$G$9*MAX(0,MIN(U$6,Inputs!$I$9)-MAX(U$5,Inputs!$H$9)+1)/(Inputs!$I$9-Inputs!$H$9+1))+IF(Inputs!$F$9*(1-Inputs!$G$9)=0,0,Inputs!$F$9*(1-Inputs!$G$9)*MAX(0,MIN(U$6,Inputs!$K$9)-MAX(U$5,Inputs!$J$9)+1)/(Inputs!$K$9-Inputs!$J$9+1))</f>
        <v/>
      </c>
      <c r="V9" s="9">
        <f>IF(Inputs!$F$9*Inputs!$G$9=0,0,Inputs!$F$9*Inputs!$G$9*MAX(0,MIN(V$6,Inputs!$I$9)-MAX(V$5,Inputs!$H$9)+1)/(Inputs!$I$9-Inputs!$H$9+1))+IF(Inputs!$F$9*(1-Inputs!$G$9)=0,0,Inputs!$F$9*(1-Inputs!$G$9)*MAX(0,MIN(V$6,Inputs!$K$9)-MAX(V$5,Inputs!$J$9)+1)/(Inputs!$K$9-Inputs!$J$9+1))</f>
        <v/>
      </c>
      <c r="W9" s="9">
        <f>IF(Inputs!$F$9*Inputs!$G$9=0,0,Inputs!$F$9*Inputs!$G$9*MAX(0,MIN(W$6,Inputs!$I$9)-MAX(W$5,Inputs!$H$9)+1)/(Inputs!$I$9-Inputs!$H$9+1))+IF(Inputs!$F$9*(1-Inputs!$G$9)=0,0,Inputs!$F$9*(1-Inputs!$G$9)*MAX(0,MIN(W$6,Inputs!$K$9)-MAX(W$5,Inputs!$J$9)+1)/(Inputs!$K$9-Inputs!$J$9+1))</f>
        <v/>
      </c>
    </row>
    <row r="10">
      <c r="A10" s="18">
        <f>Inputs!A10</f>
        <v/>
      </c>
      <c r="B10" s="18">
        <f>Inputs!B10</f>
        <v/>
      </c>
      <c r="C10" s="19">
        <f>Inputs!F10</f>
        <v/>
      </c>
      <c r="D10" s="9">
        <f>IF(Inputs!$F$10*Inputs!$G$10=0,0,Inputs!$F$10*Inputs!$G$10*MAX(0,MIN(D$6,Inputs!$I$10)-MAX(D$5,Inputs!$H$10)+1)/(Inputs!$I$10-Inputs!$H$10+1))+IF(Inputs!$F$10*(1-Inputs!$G$10)=0,0,Inputs!$F$10*(1-Inputs!$G$10)*MAX(0,MIN(D$6,Inputs!$K$10)-MAX(D$5,Inputs!$J$10)+1)/(Inputs!$K$10-Inputs!$J$10+1))</f>
        <v/>
      </c>
      <c r="E10" s="9">
        <f>IF(Inputs!$F$10*Inputs!$G$10=0,0,Inputs!$F$10*Inputs!$G$10*MAX(0,MIN(E$6,Inputs!$I$10)-MAX(E$5,Inputs!$H$10)+1)/(Inputs!$I$10-Inputs!$H$10+1))+IF(Inputs!$F$10*(1-Inputs!$G$10)=0,0,Inputs!$F$10*(1-Inputs!$G$10)*MAX(0,MIN(E$6,Inputs!$K$10)-MAX(E$5,Inputs!$J$10)+1)/(Inputs!$K$10-Inputs!$J$10+1))</f>
        <v/>
      </c>
      <c r="F10" s="9">
        <f>IF(Inputs!$F$10*Inputs!$G$10=0,0,Inputs!$F$10*Inputs!$G$10*MAX(0,MIN(F$6,Inputs!$I$10)-MAX(F$5,Inputs!$H$10)+1)/(Inputs!$I$10-Inputs!$H$10+1))+IF(Inputs!$F$10*(1-Inputs!$G$10)=0,0,Inputs!$F$10*(1-Inputs!$G$10)*MAX(0,MIN(F$6,Inputs!$K$10)-MAX(F$5,Inputs!$J$10)+1)/(Inputs!$K$10-Inputs!$J$10+1))</f>
        <v/>
      </c>
      <c r="G10" s="9">
        <f>IF(Inputs!$F$10*Inputs!$G$10=0,0,Inputs!$F$10*Inputs!$G$10*MAX(0,MIN(G$6,Inputs!$I$10)-MAX(G$5,Inputs!$H$10)+1)/(Inputs!$I$10-Inputs!$H$10+1))+IF(Inputs!$F$10*(1-Inputs!$G$10)=0,0,Inputs!$F$10*(1-Inputs!$G$10)*MAX(0,MIN(G$6,Inputs!$K$10)-MAX(G$5,Inputs!$J$10)+1)/(Inputs!$K$10-Inputs!$J$10+1))</f>
        <v/>
      </c>
      <c r="H10" s="9">
        <f>IF(Inputs!$F$10*Inputs!$G$10=0,0,Inputs!$F$10*Inputs!$G$10*MAX(0,MIN(H$6,Inputs!$I$10)-MAX(H$5,Inputs!$H$10)+1)/(Inputs!$I$10-Inputs!$H$10+1))+IF(Inputs!$F$10*(1-Inputs!$G$10)=0,0,Inputs!$F$10*(1-Inputs!$G$10)*MAX(0,MIN(H$6,Inputs!$K$10)-MAX(H$5,Inputs!$J$10)+1)/(Inputs!$K$10-Inputs!$J$10+1))</f>
        <v/>
      </c>
      <c r="I10" s="9">
        <f>IF(Inputs!$F$10*Inputs!$G$10=0,0,Inputs!$F$10*Inputs!$G$10*MAX(0,MIN(I$6,Inputs!$I$10)-MAX(I$5,Inputs!$H$10)+1)/(Inputs!$I$10-Inputs!$H$10+1))+IF(Inputs!$F$10*(1-Inputs!$G$10)=0,0,Inputs!$F$10*(1-Inputs!$G$10)*MAX(0,MIN(I$6,Inputs!$K$10)-MAX(I$5,Inputs!$J$10)+1)/(Inputs!$K$10-Inputs!$J$10+1))</f>
        <v/>
      </c>
      <c r="J10" s="9">
        <f>IF(Inputs!$F$10*Inputs!$G$10=0,0,Inputs!$F$10*Inputs!$G$10*MAX(0,MIN(J$6,Inputs!$I$10)-MAX(J$5,Inputs!$H$10)+1)/(Inputs!$I$10-Inputs!$H$10+1))+IF(Inputs!$F$10*(1-Inputs!$G$10)=0,0,Inputs!$F$10*(1-Inputs!$G$10)*MAX(0,MIN(J$6,Inputs!$K$10)-MAX(J$5,Inputs!$J$10)+1)/(Inputs!$K$10-Inputs!$J$10+1))</f>
        <v/>
      </c>
      <c r="K10" s="9">
        <f>IF(Inputs!$F$10*Inputs!$G$10=0,0,Inputs!$F$10*Inputs!$G$10*MAX(0,MIN(K$6,Inputs!$I$10)-MAX(K$5,Inputs!$H$10)+1)/(Inputs!$I$10-Inputs!$H$10+1))+IF(Inputs!$F$10*(1-Inputs!$G$10)=0,0,Inputs!$F$10*(1-Inputs!$G$10)*MAX(0,MIN(K$6,Inputs!$K$10)-MAX(K$5,Inputs!$J$10)+1)/(Inputs!$K$10-Inputs!$J$10+1))</f>
        <v/>
      </c>
      <c r="L10" s="9">
        <f>IF(Inputs!$F$10*Inputs!$G$10=0,0,Inputs!$F$10*Inputs!$G$10*MAX(0,MIN(L$6,Inputs!$I$10)-MAX(L$5,Inputs!$H$10)+1)/(Inputs!$I$10-Inputs!$H$10+1))+IF(Inputs!$F$10*(1-Inputs!$G$10)=0,0,Inputs!$F$10*(1-Inputs!$G$10)*MAX(0,MIN(L$6,Inputs!$K$10)-MAX(L$5,Inputs!$J$10)+1)/(Inputs!$K$10-Inputs!$J$10+1))</f>
        <v/>
      </c>
      <c r="M10" s="9">
        <f>IF(Inputs!$F$10*Inputs!$G$10=0,0,Inputs!$F$10*Inputs!$G$10*MAX(0,MIN(M$6,Inputs!$I$10)-MAX(M$5,Inputs!$H$10)+1)/(Inputs!$I$10-Inputs!$H$10+1))+IF(Inputs!$F$10*(1-Inputs!$G$10)=0,0,Inputs!$F$10*(1-Inputs!$G$10)*MAX(0,MIN(M$6,Inputs!$K$10)-MAX(M$5,Inputs!$J$10)+1)/(Inputs!$K$10-Inputs!$J$10+1))</f>
        <v/>
      </c>
      <c r="N10" s="9">
        <f>IF(Inputs!$F$10*Inputs!$G$10=0,0,Inputs!$F$10*Inputs!$G$10*MAX(0,MIN(N$6,Inputs!$I$10)-MAX(N$5,Inputs!$H$10)+1)/(Inputs!$I$10-Inputs!$H$10+1))+IF(Inputs!$F$10*(1-Inputs!$G$10)=0,0,Inputs!$F$10*(1-Inputs!$G$10)*MAX(0,MIN(N$6,Inputs!$K$10)-MAX(N$5,Inputs!$J$10)+1)/(Inputs!$K$10-Inputs!$J$10+1))</f>
        <v/>
      </c>
      <c r="O10" s="9">
        <f>IF(Inputs!$F$10*Inputs!$G$10=0,0,Inputs!$F$10*Inputs!$G$10*MAX(0,MIN(O$6,Inputs!$I$10)-MAX(O$5,Inputs!$H$10)+1)/(Inputs!$I$10-Inputs!$H$10+1))+IF(Inputs!$F$10*(1-Inputs!$G$10)=0,0,Inputs!$F$10*(1-Inputs!$G$10)*MAX(0,MIN(O$6,Inputs!$K$10)-MAX(O$5,Inputs!$J$10)+1)/(Inputs!$K$10-Inputs!$J$10+1))</f>
        <v/>
      </c>
      <c r="P10" s="9">
        <f>IF(Inputs!$F$10*Inputs!$G$10=0,0,Inputs!$F$10*Inputs!$G$10*MAX(0,MIN(P$6,Inputs!$I$10)-MAX(P$5,Inputs!$H$10)+1)/(Inputs!$I$10-Inputs!$H$10+1))+IF(Inputs!$F$10*(1-Inputs!$G$10)=0,0,Inputs!$F$10*(1-Inputs!$G$10)*MAX(0,MIN(P$6,Inputs!$K$10)-MAX(P$5,Inputs!$J$10)+1)/(Inputs!$K$10-Inputs!$J$10+1))</f>
        <v/>
      </c>
      <c r="Q10" s="9">
        <f>IF(Inputs!$F$10*Inputs!$G$10=0,0,Inputs!$F$10*Inputs!$G$10*MAX(0,MIN(Q$6,Inputs!$I$10)-MAX(Q$5,Inputs!$H$10)+1)/(Inputs!$I$10-Inputs!$H$10+1))+IF(Inputs!$F$10*(1-Inputs!$G$10)=0,0,Inputs!$F$10*(1-Inputs!$G$10)*MAX(0,MIN(Q$6,Inputs!$K$10)-MAX(Q$5,Inputs!$J$10)+1)/(Inputs!$K$10-Inputs!$J$10+1))</f>
        <v/>
      </c>
      <c r="R10" s="9">
        <f>SUM(D10:Q10)</f>
        <v/>
      </c>
      <c r="S10" s="9">
        <f>R10-C10</f>
        <v/>
      </c>
      <c r="U10" s="9">
        <f>IF(Inputs!$F$10*Inputs!$G$10=0,0,Inputs!$F$10*Inputs!$G$10*MAX(0,MIN(U$6,Inputs!$I$10)-MAX(U$5,Inputs!$H$10)+1)/(Inputs!$I$10-Inputs!$H$10+1))+IF(Inputs!$F$10*(1-Inputs!$G$10)=0,0,Inputs!$F$10*(1-Inputs!$G$10)*MAX(0,MIN(U$6,Inputs!$K$10)-MAX(U$5,Inputs!$J$10)+1)/(Inputs!$K$10-Inputs!$J$10+1))</f>
        <v/>
      </c>
      <c r="V10" s="9">
        <f>IF(Inputs!$F$10*Inputs!$G$10=0,0,Inputs!$F$10*Inputs!$G$10*MAX(0,MIN(V$6,Inputs!$I$10)-MAX(V$5,Inputs!$H$10)+1)/(Inputs!$I$10-Inputs!$H$10+1))+IF(Inputs!$F$10*(1-Inputs!$G$10)=0,0,Inputs!$F$10*(1-Inputs!$G$10)*MAX(0,MIN(V$6,Inputs!$K$10)-MAX(V$5,Inputs!$J$10)+1)/(Inputs!$K$10-Inputs!$J$10+1))</f>
        <v/>
      </c>
      <c r="W10" s="9">
        <f>IF(Inputs!$F$10*Inputs!$G$10=0,0,Inputs!$F$10*Inputs!$G$10*MAX(0,MIN(W$6,Inputs!$I$10)-MAX(W$5,Inputs!$H$10)+1)/(Inputs!$I$10-Inputs!$H$10+1))+IF(Inputs!$F$10*(1-Inputs!$G$10)=0,0,Inputs!$F$10*(1-Inputs!$G$10)*MAX(0,MIN(W$6,Inputs!$K$10)-MAX(W$5,Inputs!$J$10)+1)/(Inputs!$K$10-Inputs!$J$10+1))</f>
        <v/>
      </c>
    </row>
    <row r="11">
      <c r="A11" s="18">
        <f>Inputs!A11</f>
        <v/>
      </c>
      <c r="B11" s="18">
        <f>Inputs!B11</f>
        <v/>
      </c>
      <c r="C11" s="19">
        <f>Inputs!F11</f>
        <v/>
      </c>
      <c r="D11" s="9">
        <f>IF(Inputs!$F$11*Inputs!$G$11=0,0,Inputs!$F$11*Inputs!$G$11*MAX(0,MIN(D$6,Inputs!$I$11)-MAX(D$5,Inputs!$H$11)+1)/(Inputs!$I$11-Inputs!$H$11+1))+IF(Inputs!$F$11*(1-Inputs!$G$11)=0,0,Inputs!$F$11*(1-Inputs!$G$11)*MAX(0,MIN(D$6,Inputs!$K$11)-MAX(D$5,Inputs!$J$11)+1)/(Inputs!$K$11-Inputs!$J$11+1))</f>
        <v/>
      </c>
      <c r="E11" s="9">
        <f>IF(Inputs!$F$11*Inputs!$G$11=0,0,Inputs!$F$11*Inputs!$G$11*MAX(0,MIN(E$6,Inputs!$I$11)-MAX(E$5,Inputs!$H$11)+1)/(Inputs!$I$11-Inputs!$H$11+1))+IF(Inputs!$F$11*(1-Inputs!$G$11)=0,0,Inputs!$F$11*(1-Inputs!$G$11)*MAX(0,MIN(E$6,Inputs!$K$11)-MAX(E$5,Inputs!$J$11)+1)/(Inputs!$K$11-Inputs!$J$11+1))</f>
        <v/>
      </c>
      <c r="F11" s="9">
        <f>IF(Inputs!$F$11*Inputs!$G$11=0,0,Inputs!$F$11*Inputs!$G$11*MAX(0,MIN(F$6,Inputs!$I$11)-MAX(F$5,Inputs!$H$11)+1)/(Inputs!$I$11-Inputs!$H$11+1))+IF(Inputs!$F$11*(1-Inputs!$G$11)=0,0,Inputs!$F$11*(1-Inputs!$G$11)*MAX(0,MIN(F$6,Inputs!$K$11)-MAX(F$5,Inputs!$J$11)+1)/(Inputs!$K$11-Inputs!$J$11+1))</f>
        <v/>
      </c>
      <c r="G11" s="9">
        <f>IF(Inputs!$F$11*Inputs!$G$11=0,0,Inputs!$F$11*Inputs!$G$11*MAX(0,MIN(G$6,Inputs!$I$11)-MAX(G$5,Inputs!$H$11)+1)/(Inputs!$I$11-Inputs!$H$11+1))+IF(Inputs!$F$11*(1-Inputs!$G$11)=0,0,Inputs!$F$11*(1-Inputs!$G$11)*MAX(0,MIN(G$6,Inputs!$K$11)-MAX(G$5,Inputs!$J$11)+1)/(Inputs!$K$11-Inputs!$J$11+1))</f>
        <v/>
      </c>
      <c r="H11" s="9">
        <f>IF(Inputs!$F$11*Inputs!$G$11=0,0,Inputs!$F$11*Inputs!$G$11*MAX(0,MIN(H$6,Inputs!$I$11)-MAX(H$5,Inputs!$H$11)+1)/(Inputs!$I$11-Inputs!$H$11+1))+IF(Inputs!$F$11*(1-Inputs!$G$11)=0,0,Inputs!$F$11*(1-Inputs!$G$11)*MAX(0,MIN(H$6,Inputs!$K$11)-MAX(H$5,Inputs!$J$11)+1)/(Inputs!$K$11-Inputs!$J$11+1))</f>
        <v/>
      </c>
      <c r="I11" s="9">
        <f>IF(Inputs!$F$11*Inputs!$G$11=0,0,Inputs!$F$11*Inputs!$G$11*MAX(0,MIN(I$6,Inputs!$I$11)-MAX(I$5,Inputs!$H$11)+1)/(Inputs!$I$11-Inputs!$H$11+1))+IF(Inputs!$F$11*(1-Inputs!$G$11)=0,0,Inputs!$F$11*(1-Inputs!$G$11)*MAX(0,MIN(I$6,Inputs!$K$11)-MAX(I$5,Inputs!$J$11)+1)/(Inputs!$K$11-Inputs!$J$11+1))</f>
        <v/>
      </c>
      <c r="J11" s="9">
        <f>IF(Inputs!$F$11*Inputs!$G$11=0,0,Inputs!$F$11*Inputs!$G$11*MAX(0,MIN(J$6,Inputs!$I$11)-MAX(J$5,Inputs!$H$11)+1)/(Inputs!$I$11-Inputs!$H$11+1))+IF(Inputs!$F$11*(1-Inputs!$G$11)=0,0,Inputs!$F$11*(1-Inputs!$G$11)*MAX(0,MIN(J$6,Inputs!$K$11)-MAX(J$5,Inputs!$J$11)+1)/(Inputs!$K$11-Inputs!$J$11+1))</f>
        <v/>
      </c>
      <c r="K11" s="9">
        <f>IF(Inputs!$F$11*Inputs!$G$11=0,0,Inputs!$F$11*Inputs!$G$11*MAX(0,MIN(K$6,Inputs!$I$11)-MAX(K$5,Inputs!$H$11)+1)/(Inputs!$I$11-Inputs!$H$11+1))+IF(Inputs!$F$11*(1-Inputs!$G$11)=0,0,Inputs!$F$11*(1-Inputs!$G$11)*MAX(0,MIN(K$6,Inputs!$K$11)-MAX(K$5,Inputs!$J$11)+1)/(Inputs!$K$11-Inputs!$J$11+1))</f>
        <v/>
      </c>
      <c r="L11" s="9">
        <f>IF(Inputs!$F$11*Inputs!$G$11=0,0,Inputs!$F$11*Inputs!$G$11*MAX(0,MIN(L$6,Inputs!$I$11)-MAX(L$5,Inputs!$H$11)+1)/(Inputs!$I$11-Inputs!$H$11+1))+IF(Inputs!$F$11*(1-Inputs!$G$11)=0,0,Inputs!$F$11*(1-Inputs!$G$11)*MAX(0,MIN(L$6,Inputs!$K$11)-MAX(L$5,Inputs!$J$11)+1)/(Inputs!$K$11-Inputs!$J$11+1))</f>
        <v/>
      </c>
      <c r="M11" s="9">
        <f>IF(Inputs!$F$11*Inputs!$G$11=0,0,Inputs!$F$11*Inputs!$G$11*MAX(0,MIN(M$6,Inputs!$I$11)-MAX(M$5,Inputs!$H$11)+1)/(Inputs!$I$11-Inputs!$H$11+1))+IF(Inputs!$F$11*(1-Inputs!$G$11)=0,0,Inputs!$F$11*(1-Inputs!$G$11)*MAX(0,MIN(M$6,Inputs!$K$11)-MAX(M$5,Inputs!$J$11)+1)/(Inputs!$K$11-Inputs!$J$11+1))</f>
        <v/>
      </c>
      <c r="N11" s="9">
        <f>IF(Inputs!$F$11*Inputs!$G$11=0,0,Inputs!$F$11*Inputs!$G$11*MAX(0,MIN(N$6,Inputs!$I$11)-MAX(N$5,Inputs!$H$11)+1)/(Inputs!$I$11-Inputs!$H$11+1))+IF(Inputs!$F$11*(1-Inputs!$G$11)=0,0,Inputs!$F$11*(1-Inputs!$G$11)*MAX(0,MIN(N$6,Inputs!$K$11)-MAX(N$5,Inputs!$J$11)+1)/(Inputs!$K$11-Inputs!$J$11+1))</f>
        <v/>
      </c>
      <c r="O11" s="9">
        <f>IF(Inputs!$F$11*Inputs!$G$11=0,0,Inputs!$F$11*Inputs!$G$11*MAX(0,MIN(O$6,Inputs!$I$11)-MAX(O$5,Inputs!$H$11)+1)/(Inputs!$I$11-Inputs!$H$11+1))+IF(Inputs!$F$11*(1-Inputs!$G$11)=0,0,Inputs!$F$11*(1-Inputs!$G$11)*MAX(0,MIN(O$6,Inputs!$K$11)-MAX(O$5,Inputs!$J$11)+1)/(Inputs!$K$11-Inputs!$J$11+1))</f>
        <v/>
      </c>
      <c r="P11" s="9">
        <f>IF(Inputs!$F$11*Inputs!$G$11=0,0,Inputs!$F$11*Inputs!$G$11*MAX(0,MIN(P$6,Inputs!$I$11)-MAX(P$5,Inputs!$H$11)+1)/(Inputs!$I$11-Inputs!$H$11+1))+IF(Inputs!$F$11*(1-Inputs!$G$11)=0,0,Inputs!$F$11*(1-Inputs!$G$11)*MAX(0,MIN(P$6,Inputs!$K$11)-MAX(P$5,Inputs!$J$11)+1)/(Inputs!$K$11-Inputs!$J$11+1))</f>
        <v/>
      </c>
      <c r="Q11" s="9">
        <f>IF(Inputs!$F$11*Inputs!$G$11=0,0,Inputs!$F$11*Inputs!$G$11*MAX(0,MIN(Q$6,Inputs!$I$11)-MAX(Q$5,Inputs!$H$11)+1)/(Inputs!$I$11-Inputs!$H$11+1))+IF(Inputs!$F$11*(1-Inputs!$G$11)=0,0,Inputs!$F$11*(1-Inputs!$G$11)*MAX(0,MIN(Q$6,Inputs!$K$11)-MAX(Q$5,Inputs!$J$11)+1)/(Inputs!$K$11-Inputs!$J$11+1))</f>
        <v/>
      </c>
      <c r="R11" s="9">
        <f>SUM(D11:Q11)</f>
        <v/>
      </c>
      <c r="S11" s="9">
        <f>R11-C11</f>
        <v/>
      </c>
      <c r="U11" s="9">
        <f>IF(Inputs!$F$11*Inputs!$G$11=0,0,Inputs!$F$11*Inputs!$G$11*MAX(0,MIN(U$6,Inputs!$I$11)-MAX(U$5,Inputs!$H$11)+1)/(Inputs!$I$11-Inputs!$H$11+1))+IF(Inputs!$F$11*(1-Inputs!$G$11)=0,0,Inputs!$F$11*(1-Inputs!$G$11)*MAX(0,MIN(U$6,Inputs!$K$11)-MAX(U$5,Inputs!$J$11)+1)/(Inputs!$K$11-Inputs!$J$11+1))</f>
        <v/>
      </c>
      <c r="V11" s="9">
        <f>IF(Inputs!$F$11*Inputs!$G$11=0,0,Inputs!$F$11*Inputs!$G$11*MAX(0,MIN(V$6,Inputs!$I$11)-MAX(V$5,Inputs!$H$11)+1)/(Inputs!$I$11-Inputs!$H$11+1))+IF(Inputs!$F$11*(1-Inputs!$G$11)=0,0,Inputs!$F$11*(1-Inputs!$G$11)*MAX(0,MIN(V$6,Inputs!$K$11)-MAX(V$5,Inputs!$J$11)+1)/(Inputs!$K$11-Inputs!$J$11+1))</f>
        <v/>
      </c>
      <c r="W11" s="9">
        <f>IF(Inputs!$F$11*Inputs!$G$11=0,0,Inputs!$F$11*Inputs!$G$11*MAX(0,MIN(W$6,Inputs!$I$11)-MAX(W$5,Inputs!$H$11)+1)/(Inputs!$I$11-Inputs!$H$11+1))+IF(Inputs!$F$11*(1-Inputs!$G$11)=0,0,Inputs!$F$11*(1-Inputs!$G$11)*MAX(0,MIN(W$6,Inputs!$K$11)-MAX(W$5,Inputs!$J$11)+1)/(Inputs!$K$11-Inputs!$J$11+1))</f>
        <v/>
      </c>
    </row>
    <row r="12">
      <c r="A12" s="18">
        <f>Inputs!A12</f>
        <v/>
      </c>
      <c r="B12" s="18">
        <f>Inputs!B12</f>
        <v/>
      </c>
      <c r="C12" s="19">
        <f>Inputs!F12</f>
        <v/>
      </c>
      <c r="D12" s="9">
        <f>IF(Inputs!$F$12*Inputs!$G$12=0,0,Inputs!$F$12*Inputs!$G$12*MAX(0,MIN(D$6,Inputs!$I$12)-MAX(D$5,Inputs!$H$12)+1)/(Inputs!$I$12-Inputs!$H$12+1))+IF(Inputs!$F$12*(1-Inputs!$G$12)=0,0,Inputs!$F$12*(1-Inputs!$G$12)*MAX(0,MIN(D$6,Inputs!$K$12)-MAX(D$5,Inputs!$J$12)+1)/(Inputs!$K$12-Inputs!$J$12+1))</f>
        <v/>
      </c>
      <c r="E12" s="9">
        <f>IF(Inputs!$F$12*Inputs!$G$12=0,0,Inputs!$F$12*Inputs!$G$12*MAX(0,MIN(E$6,Inputs!$I$12)-MAX(E$5,Inputs!$H$12)+1)/(Inputs!$I$12-Inputs!$H$12+1))+IF(Inputs!$F$12*(1-Inputs!$G$12)=0,0,Inputs!$F$12*(1-Inputs!$G$12)*MAX(0,MIN(E$6,Inputs!$K$12)-MAX(E$5,Inputs!$J$12)+1)/(Inputs!$K$12-Inputs!$J$12+1))</f>
        <v/>
      </c>
      <c r="F12" s="9">
        <f>IF(Inputs!$F$12*Inputs!$G$12=0,0,Inputs!$F$12*Inputs!$G$12*MAX(0,MIN(F$6,Inputs!$I$12)-MAX(F$5,Inputs!$H$12)+1)/(Inputs!$I$12-Inputs!$H$12+1))+IF(Inputs!$F$12*(1-Inputs!$G$12)=0,0,Inputs!$F$12*(1-Inputs!$G$12)*MAX(0,MIN(F$6,Inputs!$K$12)-MAX(F$5,Inputs!$J$12)+1)/(Inputs!$K$12-Inputs!$J$12+1))</f>
        <v/>
      </c>
      <c r="G12" s="9">
        <f>IF(Inputs!$F$12*Inputs!$G$12=0,0,Inputs!$F$12*Inputs!$G$12*MAX(0,MIN(G$6,Inputs!$I$12)-MAX(G$5,Inputs!$H$12)+1)/(Inputs!$I$12-Inputs!$H$12+1))+IF(Inputs!$F$12*(1-Inputs!$G$12)=0,0,Inputs!$F$12*(1-Inputs!$G$12)*MAX(0,MIN(G$6,Inputs!$K$12)-MAX(G$5,Inputs!$J$12)+1)/(Inputs!$K$12-Inputs!$J$12+1))</f>
        <v/>
      </c>
      <c r="H12" s="9">
        <f>IF(Inputs!$F$12*Inputs!$G$12=0,0,Inputs!$F$12*Inputs!$G$12*MAX(0,MIN(H$6,Inputs!$I$12)-MAX(H$5,Inputs!$H$12)+1)/(Inputs!$I$12-Inputs!$H$12+1))+IF(Inputs!$F$12*(1-Inputs!$G$12)=0,0,Inputs!$F$12*(1-Inputs!$G$12)*MAX(0,MIN(H$6,Inputs!$K$12)-MAX(H$5,Inputs!$J$12)+1)/(Inputs!$K$12-Inputs!$J$12+1))</f>
        <v/>
      </c>
      <c r="I12" s="9">
        <f>IF(Inputs!$F$12*Inputs!$G$12=0,0,Inputs!$F$12*Inputs!$G$12*MAX(0,MIN(I$6,Inputs!$I$12)-MAX(I$5,Inputs!$H$12)+1)/(Inputs!$I$12-Inputs!$H$12+1))+IF(Inputs!$F$12*(1-Inputs!$G$12)=0,0,Inputs!$F$12*(1-Inputs!$G$12)*MAX(0,MIN(I$6,Inputs!$K$12)-MAX(I$5,Inputs!$J$12)+1)/(Inputs!$K$12-Inputs!$J$12+1))</f>
        <v/>
      </c>
      <c r="J12" s="9">
        <f>IF(Inputs!$F$12*Inputs!$G$12=0,0,Inputs!$F$12*Inputs!$G$12*MAX(0,MIN(J$6,Inputs!$I$12)-MAX(J$5,Inputs!$H$12)+1)/(Inputs!$I$12-Inputs!$H$12+1))+IF(Inputs!$F$12*(1-Inputs!$G$12)=0,0,Inputs!$F$12*(1-Inputs!$G$12)*MAX(0,MIN(J$6,Inputs!$K$12)-MAX(J$5,Inputs!$J$12)+1)/(Inputs!$K$12-Inputs!$J$12+1))</f>
        <v/>
      </c>
      <c r="K12" s="9">
        <f>IF(Inputs!$F$12*Inputs!$G$12=0,0,Inputs!$F$12*Inputs!$G$12*MAX(0,MIN(K$6,Inputs!$I$12)-MAX(K$5,Inputs!$H$12)+1)/(Inputs!$I$12-Inputs!$H$12+1))+IF(Inputs!$F$12*(1-Inputs!$G$12)=0,0,Inputs!$F$12*(1-Inputs!$G$12)*MAX(0,MIN(K$6,Inputs!$K$12)-MAX(K$5,Inputs!$J$12)+1)/(Inputs!$K$12-Inputs!$J$12+1))</f>
        <v/>
      </c>
      <c r="L12" s="9">
        <f>IF(Inputs!$F$12*Inputs!$G$12=0,0,Inputs!$F$12*Inputs!$G$12*MAX(0,MIN(L$6,Inputs!$I$12)-MAX(L$5,Inputs!$H$12)+1)/(Inputs!$I$12-Inputs!$H$12+1))+IF(Inputs!$F$12*(1-Inputs!$G$12)=0,0,Inputs!$F$12*(1-Inputs!$G$12)*MAX(0,MIN(L$6,Inputs!$K$12)-MAX(L$5,Inputs!$J$12)+1)/(Inputs!$K$12-Inputs!$J$12+1))</f>
        <v/>
      </c>
      <c r="M12" s="9">
        <f>IF(Inputs!$F$12*Inputs!$G$12=0,0,Inputs!$F$12*Inputs!$G$12*MAX(0,MIN(M$6,Inputs!$I$12)-MAX(M$5,Inputs!$H$12)+1)/(Inputs!$I$12-Inputs!$H$12+1))+IF(Inputs!$F$12*(1-Inputs!$G$12)=0,0,Inputs!$F$12*(1-Inputs!$G$12)*MAX(0,MIN(M$6,Inputs!$K$12)-MAX(M$5,Inputs!$J$12)+1)/(Inputs!$K$12-Inputs!$J$12+1))</f>
        <v/>
      </c>
      <c r="N12" s="9">
        <f>IF(Inputs!$F$12*Inputs!$G$12=0,0,Inputs!$F$12*Inputs!$G$12*MAX(0,MIN(N$6,Inputs!$I$12)-MAX(N$5,Inputs!$H$12)+1)/(Inputs!$I$12-Inputs!$H$12+1))+IF(Inputs!$F$12*(1-Inputs!$G$12)=0,0,Inputs!$F$12*(1-Inputs!$G$12)*MAX(0,MIN(N$6,Inputs!$K$12)-MAX(N$5,Inputs!$J$12)+1)/(Inputs!$K$12-Inputs!$J$12+1))</f>
        <v/>
      </c>
      <c r="O12" s="9">
        <f>IF(Inputs!$F$12*Inputs!$G$12=0,0,Inputs!$F$12*Inputs!$G$12*MAX(0,MIN(O$6,Inputs!$I$12)-MAX(O$5,Inputs!$H$12)+1)/(Inputs!$I$12-Inputs!$H$12+1))+IF(Inputs!$F$12*(1-Inputs!$G$12)=0,0,Inputs!$F$12*(1-Inputs!$G$12)*MAX(0,MIN(O$6,Inputs!$K$12)-MAX(O$5,Inputs!$J$12)+1)/(Inputs!$K$12-Inputs!$J$12+1))</f>
        <v/>
      </c>
      <c r="P12" s="9">
        <f>IF(Inputs!$F$12*Inputs!$G$12=0,0,Inputs!$F$12*Inputs!$G$12*MAX(0,MIN(P$6,Inputs!$I$12)-MAX(P$5,Inputs!$H$12)+1)/(Inputs!$I$12-Inputs!$H$12+1))+IF(Inputs!$F$12*(1-Inputs!$G$12)=0,0,Inputs!$F$12*(1-Inputs!$G$12)*MAX(0,MIN(P$6,Inputs!$K$12)-MAX(P$5,Inputs!$J$12)+1)/(Inputs!$K$12-Inputs!$J$12+1))</f>
        <v/>
      </c>
      <c r="Q12" s="9">
        <f>IF(Inputs!$F$12*Inputs!$G$12=0,0,Inputs!$F$12*Inputs!$G$12*MAX(0,MIN(Q$6,Inputs!$I$12)-MAX(Q$5,Inputs!$H$12)+1)/(Inputs!$I$12-Inputs!$H$12+1))+IF(Inputs!$F$12*(1-Inputs!$G$12)=0,0,Inputs!$F$12*(1-Inputs!$G$12)*MAX(0,MIN(Q$6,Inputs!$K$12)-MAX(Q$5,Inputs!$J$12)+1)/(Inputs!$K$12-Inputs!$J$12+1))</f>
        <v/>
      </c>
      <c r="R12" s="9">
        <f>SUM(D12:Q12)</f>
        <v/>
      </c>
      <c r="S12" s="9">
        <f>R12-C12</f>
        <v/>
      </c>
      <c r="U12" s="9">
        <f>IF(Inputs!$F$12*Inputs!$G$12=0,0,Inputs!$F$12*Inputs!$G$12*MAX(0,MIN(U$6,Inputs!$I$12)-MAX(U$5,Inputs!$H$12)+1)/(Inputs!$I$12-Inputs!$H$12+1))+IF(Inputs!$F$12*(1-Inputs!$G$12)=0,0,Inputs!$F$12*(1-Inputs!$G$12)*MAX(0,MIN(U$6,Inputs!$K$12)-MAX(U$5,Inputs!$J$12)+1)/(Inputs!$K$12-Inputs!$J$12+1))</f>
        <v/>
      </c>
      <c r="V12" s="9">
        <f>IF(Inputs!$F$12*Inputs!$G$12=0,0,Inputs!$F$12*Inputs!$G$12*MAX(0,MIN(V$6,Inputs!$I$12)-MAX(V$5,Inputs!$H$12)+1)/(Inputs!$I$12-Inputs!$H$12+1))+IF(Inputs!$F$12*(1-Inputs!$G$12)=0,0,Inputs!$F$12*(1-Inputs!$G$12)*MAX(0,MIN(V$6,Inputs!$K$12)-MAX(V$5,Inputs!$J$12)+1)/(Inputs!$K$12-Inputs!$J$12+1))</f>
        <v/>
      </c>
      <c r="W12" s="9">
        <f>IF(Inputs!$F$12*Inputs!$G$12=0,0,Inputs!$F$12*Inputs!$G$12*MAX(0,MIN(W$6,Inputs!$I$12)-MAX(W$5,Inputs!$H$12)+1)/(Inputs!$I$12-Inputs!$H$12+1))+IF(Inputs!$F$12*(1-Inputs!$G$12)=0,0,Inputs!$F$12*(1-Inputs!$G$12)*MAX(0,MIN(W$6,Inputs!$K$12)-MAX(W$5,Inputs!$J$12)+1)/(Inputs!$K$12-Inputs!$J$12+1))</f>
        <v/>
      </c>
    </row>
    <row r="13">
      <c r="A13" s="18">
        <f>Inputs!A13</f>
        <v/>
      </c>
      <c r="B13" s="18">
        <f>Inputs!B13</f>
        <v/>
      </c>
      <c r="C13" s="19">
        <f>Inputs!F13</f>
        <v/>
      </c>
      <c r="D13" s="9">
        <f>IF(Inputs!$F$13*Inputs!$G$13=0,0,Inputs!$F$13*Inputs!$G$13*MAX(0,MIN(D$6,Inputs!$I$13)-MAX(D$5,Inputs!$H$13)+1)/(Inputs!$I$13-Inputs!$H$13+1))+IF(Inputs!$F$13*(1-Inputs!$G$13)=0,0,Inputs!$F$13*(1-Inputs!$G$13)*MAX(0,MIN(D$6,Inputs!$K$13)-MAX(D$5,Inputs!$J$13)+1)/(Inputs!$K$13-Inputs!$J$13+1))</f>
        <v/>
      </c>
      <c r="E13" s="9">
        <f>IF(Inputs!$F$13*Inputs!$G$13=0,0,Inputs!$F$13*Inputs!$G$13*MAX(0,MIN(E$6,Inputs!$I$13)-MAX(E$5,Inputs!$H$13)+1)/(Inputs!$I$13-Inputs!$H$13+1))+IF(Inputs!$F$13*(1-Inputs!$G$13)=0,0,Inputs!$F$13*(1-Inputs!$G$13)*MAX(0,MIN(E$6,Inputs!$K$13)-MAX(E$5,Inputs!$J$13)+1)/(Inputs!$K$13-Inputs!$J$13+1))</f>
        <v/>
      </c>
      <c r="F13" s="9">
        <f>IF(Inputs!$F$13*Inputs!$G$13=0,0,Inputs!$F$13*Inputs!$G$13*MAX(0,MIN(F$6,Inputs!$I$13)-MAX(F$5,Inputs!$H$13)+1)/(Inputs!$I$13-Inputs!$H$13+1))+IF(Inputs!$F$13*(1-Inputs!$G$13)=0,0,Inputs!$F$13*(1-Inputs!$G$13)*MAX(0,MIN(F$6,Inputs!$K$13)-MAX(F$5,Inputs!$J$13)+1)/(Inputs!$K$13-Inputs!$J$13+1))</f>
        <v/>
      </c>
      <c r="G13" s="9">
        <f>IF(Inputs!$F$13*Inputs!$G$13=0,0,Inputs!$F$13*Inputs!$G$13*MAX(0,MIN(G$6,Inputs!$I$13)-MAX(G$5,Inputs!$H$13)+1)/(Inputs!$I$13-Inputs!$H$13+1))+IF(Inputs!$F$13*(1-Inputs!$G$13)=0,0,Inputs!$F$13*(1-Inputs!$G$13)*MAX(0,MIN(G$6,Inputs!$K$13)-MAX(G$5,Inputs!$J$13)+1)/(Inputs!$K$13-Inputs!$J$13+1))</f>
        <v/>
      </c>
      <c r="H13" s="9">
        <f>IF(Inputs!$F$13*Inputs!$G$13=0,0,Inputs!$F$13*Inputs!$G$13*MAX(0,MIN(H$6,Inputs!$I$13)-MAX(H$5,Inputs!$H$13)+1)/(Inputs!$I$13-Inputs!$H$13+1))+IF(Inputs!$F$13*(1-Inputs!$G$13)=0,0,Inputs!$F$13*(1-Inputs!$G$13)*MAX(0,MIN(H$6,Inputs!$K$13)-MAX(H$5,Inputs!$J$13)+1)/(Inputs!$K$13-Inputs!$J$13+1))</f>
        <v/>
      </c>
      <c r="I13" s="9">
        <f>IF(Inputs!$F$13*Inputs!$G$13=0,0,Inputs!$F$13*Inputs!$G$13*MAX(0,MIN(I$6,Inputs!$I$13)-MAX(I$5,Inputs!$H$13)+1)/(Inputs!$I$13-Inputs!$H$13+1))+IF(Inputs!$F$13*(1-Inputs!$G$13)=0,0,Inputs!$F$13*(1-Inputs!$G$13)*MAX(0,MIN(I$6,Inputs!$K$13)-MAX(I$5,Inputs!$J$13)+1)/(Inputs!$K$13-Inputs!$J$13+1))</f>
        <v/>
      </c>
      <c r="J13" s="9">
        <f>IF(Inputs!$F$13*Inputs!$G$13=0,0,Inputs!$F$13*Inputs!$G$13*MAX(0,MIN(J$6,Inputs!$I$13)-MAX(J$5,Inputs!$H$13)+1)/(Inputs!$I$13-Inputs!$H$13+1))+IF(Inputs!$F$13*(1-Inputs!$G$13)=0,0,Inputs!$F$13*(1-Inputs!$G$13)*MAX(0,MIN(J$6,Inputs!$K$13)-MAX(J$5,Inputs!$J$13)+1)/(Inputs!$K$13-Inputs!$J$13+1))</f>
        <v/>
      </c>
      <c r="K13" s="9">
        <f>IF(Inputs!$F$13*Inputs!$G$13=0,0,Inputs!$F$13*Inputs!$G$13*MAX(0,MIN(K$6,Inputs!$I$13)-MAX(K$5,Inputs!$H$13)+1)/(Inputs!$I$13-Inputs!$H$13+1))+IF(Inputs!$F$13*(1-Inputs!$G$13)=0,0,Inputs!$F$13*(1-Inputs!$G$13)*MAX(0,MIN(K$6,Inputs!$K$13)-MAX(K$5,Inputs!$J$13)+1)/(Inputs!$K$13-Inputs!$J$13+1))</f>
        <v/>
      </c>
      <c r="L13" s="9">
        <f>IF(Inputs!$F$13*Inputs!$G$13=0,0,Inputs!$F$13*Inputs!$G$13*MAX(0,MIN(L$6,Inputs!$I$13)-MAX(L$5,Inputs!$H$13)+1)/(Inputs!$I$13-Inputs!$H$13+1))+IF(Inputs!$F$13*(1-Inputs!$G$13)=0,0,Inputs!$F$13*(1-Inputs!$G$13)*MAX(0,MIN(L$6,Inputs!$K$13)-MAX(L$5,Inputs!$J$13)+1)/(Inputs!$K$13-Inputs!$J$13+1))</f>
        <v/>
      </c>
      <c r="M13" s="9">
        <f>IF(Inputs!$F$13*Inputs!$G$13=0,0,Inputs!$F$13*Inputs!$G$13*MAX(0,MIN(M$6,Inputs!$I$13)-MAX(M$5,Inputs!$H$13)+1)/(Inputs!$I$13-Inputs!$H$13+1))+IF(Inputs!$F$13*(1-Inputs!$G$13)=0,0,Inputs!$F$13*(1-Inputs!$G$13)*MAX(0,MIN(M$6,Inputs!$K$13)-MAX(M$5,Inputs!$J$13)+1)/(Inputs!$K$13-Inputs!$J$13+1))</f>
        <v/>
      </c>
      <c r="N13" s="9">
        <f>IF(Inputs!$F$13*Inputs!$G$13=0,0,Inputs!$F$13*Inputs!$G$13*MAX(0,MIN(N$6,Inputs!$I$13)-MAX(N$5,Inputs!$H$13)+1)/(Inputs!$I$13-Inputs!$H$13+1))+IF(Inputs!$F$13*(1-Inputs!$G$13)=0,0,Inputs!$F$13*(1-Inputs!$G$13)*MAX(0,MIN(N$6,Inputs!$K$13)-MAX(N$5,Inputs!$J$13)+1)/(Inputs!$K$13-Inputs!$J$13+1))</f>
        <v/>
      </c>
      <c r="O13" s="9">
        <f>IF(Inputs!$F$13*Inputs!$G$13=0,0,Inputs!$F$13*Inputs!$G$13*MAX(0,MIN(O$6,Inputs!$I$13)-MAX(O$5,Inputs!$H$13)+1)/(Inputs!$I$13-Inputs!$H$13+1))+IF(Inputs!$F$13*(1-Inputs!$G$13)=0,0,Inputs!$F$13*(1-Inputs!$G$13)*MAX(0,MIN(O$6,Inputs!$K$13)-MAX(O$5,Inputs!$J$13)+1)/(Inputs!$K$13-Inputs!$J$13+1))</f>
        <v/>
      </c>
      <c r="P13" s="9">
        <f>IF(Inputs!$F$13*Inputs!$G$13=0,0,Inputs!$F$13*Inputs!$G$13*MAX(0,MIN(P$6,Inputs!$I$13)-MAX(P$5,Inputs!$H$13)+1)/(Inputs!$I$13-Inputs!$H$13+1))+IF(Inputs!$F$13*(1-Inputs!$G$13)=0,0,Inputs!$F$13*(1-Inputs!$G$13)*MAX(0,MIN(P$6,Inputs!$K$13)-MAX(P$5,Inputs!$J$13)+1)/(Inputs!$K$13-Inputs!$J$13+1))</f>
        <v/>
      </c>
      <c r="Q13" s="9">
        <f>IF(Inputs!$F$13*Inputs!$G$13=0,0,Inputs!$F$13*Inputs!$G$13*MAX(0,MIN(Q$6,Inputs!$I$13)-MAX(Q$5,Inputs!$H$13)+1)/(Inputs!$I$13-Inputs!$H$13+1))+IF(Inputs!$F$13*(1-Inputs!$G$13)=0,0,Inputs!$F$13*(1-Inputs!$G$13)*MAX(0,MIN(Q$6,Inputs!$K$13)-MAX(Q$5,Inputs!$J$13)+1)/(Inputs!$K$13-Inputs!$J$13+1))</f>
        <v/>
      </c>
      <c r="R13" s="9">
        <f>SUM(D13:Q13)</f>
        <v/>
      </c>
      <c r="S13" s="9">
        <f>R13-C13</f>
        <v/>
      </c>
      <c r="U13" s="9">
        <f>IF(Inputs!$F$13*Inputs!$G$13=0,0,Inputs!$F$13*Inputs!$G$13*MAX(0,MIN(U$6,Inputs!$I$13)-MAX(U$5,Inputs!$H$13)+1)/(Inputs!$I$13-Inputs!$H$13+1))+IF(Inputs!$F$13*(1-Inputs!$G$13)=0,0,Inputs!$F$13*(1-Inputs!$G$13)*MAX(0,MIN(U$6,Inputs!$K$13)-MAX(U$5,Inputs!$J$13)+1)/(Inputs!$K$13-Inputs!$J$13+1))</f>
        <v/>
      </c>
      <c r="V13" s="9">
        <f>IF(Inputs!$F$13*Inputs!$G$13=0,0,Inputs!$F$13*Inputs!$G$13*MAX(0,MIN(V$6,Inputs!$I$13)-MAX(V$5,Inputs!$H$13)+1)/(Inputs!$I$13-Inputs!$H$13+1))+IF(Inputs!$F$13*(1-Inputs!$G$13)=0,0,Inputs!$F$13*(1-Inputs!$G$13)*MAX(0,MIN(V$6,Inputs!$K$13)-MAX(V$5,Inputs!$J$13)+1)/(Inputs!$K$13-Inputs!$J$13+1))</f>
        <v/>
      </c>
      <c r="W13" s="9">
        <f>IF(Inputs!$F$13*Inputs!$G$13=0,0,Inputs!$F$13*Inputs!$G$13*MAX(0,MIN(W$6,Inputs!$I$13)-MAX(W$5,Inputs!$H$13)+1)/(Inputs!$I$13-Inputs!$H$13+1))+IF(Inputs!$F$13*(1-Inputs!$G$13)=0,0,Inputs!$F$13*(1-Inputs!$G$13)*MAX(0,MIN(W$6,Inputs!$K$13)-MAX(W$5,Inputs!$J$13)+1)/(Inputs!$K$13-Inputs!$J$13+1))</f>
        <v/>
      </c>
    </row>
    <row r="14">
      <c r="A14" s="18">
        <f>Inputs!A14</f>
        <v/>
      </c>
      <c r="B14" s="18">
        <f>Inputs!B14</f>
        <v/>
      </c>
      <c r="C14" s="19">
        <f>Inputs!F14</f>
        <v/>
      </c>
      <c r="D14" s="9">
        <f>IF(Inputs!$F$14*Inputs!$G$14=0,0,Inputs!$F$14*Inputs!$G$14*MAX(0,MIN(D$6,Inputs!$I$14)-MAX(D$5,Inputs!$H$14)+1)/(Inputs!$I$14-Inputs!$H$14+1))+IF(Inputs!$F$14*(1-Inputs!$G$14)=0,0,Inputs!$F$14*(1-Inputs!$G$14)*MAX(0,MIN(D$6,Inputs!$K$14)-MAX(D$5,Inputs!$J$14)+1)/(Inputs!$K$14-Inputs!$J$14+1))</f>
        <v/>
      </c>
      <c r="E14" s="9">
        <f>IF(Inputs!$F$14*Inputs!$G$14=0,0,Inputs!$F$14*Inputs!$G$14*MAX(0,MIN(E$6,Inputs!$I$14)-MAX(E$5,Inputs!$H$14)+1)/(Inputs!$I$14-Inputs!$H$14+1))+IF(Inputs!$F$14*(1-Inputs!$G$14)=0,0,Inputs!$F$14*(1-Inputs!$G$14)*MAX(0,MIN(E$6,Inputs!$K$14)-MAX(E$5,Inputs!$J$14)+1)/(Inputs!$K$14-Inputs!$J$14+1))</f>
        <v/>
      </c>
      <c r="F14" s="9">
        <f>IF(Inputs!$F$14*Inputs!$G$14=0,0,Inputs!$F$14*Inputs!$G$14*MAX(0,MIN(F$6,Inputs!$I$14)-MAX(F$5,Inputs!$H$14)+1)/(Inputs!$I$14-Inputs!$H$14+1))+IF(Inputs!$F$14*(1-Inputs!$G$14)=0,0,Inputs!$F$14*(1-Inputs!$G$14)*MAX(0,MIN(F$6,Inputs!$K$14)-MAX(F$5,Inputs!$J$14)+1)/(Inputs!$K$14-Inputs!$J$14+1))</f>
        <v/>
      </c>
      <c r="G14" s="9">
        <f>IF(Inputs!$F$14*Inputs!$G$14=0,0,Inputs!$F$14*Inputs!$G$14*MAX(0,MIN(G$6,Inputs!$I$14)-MAX(G$5,Inputs!$H$14)+1)/(Inputs!$I$14-Inputs!$H$14+1))+IF(Inputs!$F$14*(1-Inputs!$G$14)=0,0,Inputs!$F$14*(1-Inputs!$G$14)*MAX(0,MIN(G$6,Inputs!$K$14)-MAX(G$5,Inputs!$J$14)+1)/(Inputs!$K$14-Inputs!$J$14+1))</f>
        <v/>
      </c>
      <c r="H14" s="9">
        <f>IF(Inputs!$F$14*Inputs!$G$14=0,0,Inputs!$F$14*Inputs!$G$14*MAX(0,MIN(H$6,Inputs!$I$14)-MAX(H$5,Inputs!$H$14)+1)/(Inputs!$I$14-Inputs!$H$14+1))+IF(Inputs!$F$14*(1-Inputs!$G$14)=0,0,Inputs!$F$14*(1-Inputs!$G$14)*MAX(0,MIN(H$6,Inputs!$K$14)-MAX(H$5,Inputs!$J$14)+1)/(Inputs!$K$14-Inputs!$J$14+1))</f>
        <v/>
      </c>
      <c r="I14" s="9">
        <f>IF(Inputs!$F$14*Inputs!$G$14=0,0,Inputs!$F$14*Inputs!$G$14*MAX(0,MIN(I$6,Inputs!$I$14)-MAX(I$5,Inputs!$H$14)+1)/(Inputs!$I$14-Inputs!$H$14+1))+IF(Inputs!$F$14*(1-Inputs!$G$14)=0,0,Inputs!$F$14*(1-Inputs!$G$14)*MAX(0,MIN(I$6,Inputs!$K$14)-MAX(I$5,Inputs!$J$14)+1)/(Inputs!$K$14-Inputs!$J$14+1))</f>
        <v/>
      </c>
      <c r="J14" s="9">
        <f>IF(Inputs!$F$14*Inputs!$G$14=0,0,Inputs!$F$14*Inputs!$G$14*MAX(0,MIN(J$6,Inputs!$I$14)-MAX(J$5,Inputs!$H$14)+1)/(Inputs!$I$14-Inputs!$H$14+1))+IF(Inputs!$F$14*(1-Inputs!$G$14)=0,0,Inputs!$F$14*(1-Inputs!$G$14)*MAX(0,MIN(J$6,Inputs!$K$14)-MAX(J$5,Inputs!$J$14)+1)/(Inputs!$K$14-Inputs!$J$14+1))</f>
        <v/>
      </c>
      <c r="K14" s="9">
        <f>IF(Inputs!$F$14*Inputs!$G$14=0,0,Inputs!$F$14*Inputs!$G$14*MAX(0,MIN(K$6,Inputs!$I$14)-MAX(K$5,Inputs!$H$14)+1)/(Inputs!$I$14-Inputs!$H$14+1))+IF(Inputs!$F$14*(1-Inputs!$G$14)=0,0,Inputs!$F$14*(1-Inputs!$G$14)*MAX(0,MIN(K$6,Inputs!$K$14)-MAX(K$5,Inputs!$J$14)+1)/(Inputs!$K$14-Inputs!$J$14+1))</f>
        <v/>
      </c>
      <c r="L14" s="9">
        <f>IF(Inputs!$F$14*Inputs!$G$14=0,0,Inputs!$F$14*Inputs!$G$14*MAX(0,MIN(L$6,Inputs!$I$14)-MAX(L$5,Inputs!$H$14)+1)/(Inputs!$I$14-Inputs!$H$14+1))+IF(Inputs!$F$14*(1-Inputs!$G$14)=0,0,Inputs!$F$14*(1-Inputs!$G$14)*MAX(0,MIN(L$6,Inputs!$K$14)-MAX(L$5,Inputs!$J$14)+1)/(Inputs!$K$14-Inputs!$J$14+1))</f>
        <v/>
      </c>
      <c r="M14" s="9">
        <f>IF(Inputs!$F$14*Inputs!$G$14=0,0,Inputs!$F$14*Inputs!$G$14*MAX(0,MIN(M$6,Inputs!$I$14)-MAX(M$5,Inputs!$H$14)+1)/(Inputs!$I$14-Inputs!$H$14+1))+IF(Inputs!$F$14*(1-Inputs!$G$14)=0,0,Inputs!$F$14*(1-Inputs!$G$14)*MAX(0,MIN(M$6,Inputs!$K$14)-MAX(M$5,Inputs!$J$14)+1)/(Inputs!$K$14-Inputs!$J$14+1))</f>
        <v/>
      </c>
      <c r="N14" s="9">
        <f>IF(Inputs!$F$14*Inputs!$G$14=0,0,Inputs!$F$14*Inputs!$G$14*MAX(0,MIN(N$6,Inputs!$I$14)-MAX(N$5,Inputs!$H$14)+1)/(Inputs!$I$14-Inputs!$H$14+1))+IF(Inputs!$F$14*(1-Inputs!$G$14)=0,0,Inputs!$F$14*(1-Inputs!$G$14)*MAX(0,MIN(N$6,Inputs!$K$14)-MAX(N$5,Inputs!$J$14)+1)/(Inputs!$K$14-Inputs!$J$14+1))</f>
        <v/>
      </c>
      <c r="O14" s="9">
        <f>IF(Inputs!$F$14*Inputs!$G$14=0,0,Inputs!$F$14*Inputs!$G$14*MAX(0,MIN(O$6,Inputs!$I$14)-MAX(O$5,Inputs!$H$14)+1)/(Inputs!$I$14-Inputs!$H$14+1))+IF(Inputs!$F$14*(1-Inputs!$G$14)=0,0,Inputs!$F$14*(1-Inputs!$G$14)*MAX(0,MIN(O$6,Inputs!$K$14)-MAX(O$5,Inputs!$J$14)+1)/(Inputs!$K$14-Inputs!$J$14+1))</f>
        <v/>
      </c>
      <c r="P14" s="9">
        <f>IF(Inputs!$F$14*Inputs!$G$14=0,0,Inputs!$F$14*Inputs!$G$14*MAX(0,MIN(P$6,Inputs!$I$14)-MAX(P$5,Inputs!$H$14)+1)/(Inputs!$I$14-Inputs!$H$14+1))+IF(Inputs!$F$14*(1-Inputs!$G$14)=0,0,Inputs!$F$14*(1-Inputs!$G$14)*MAX(0,MIN(P$6,Inputs!$K$14)-MAX(P$5,Inputs!$J$14)+1)/(Inputs!$K$14-Inputs!$J$14+1))</f>
        <v/>
      </c>
      <c r="Q14" s="9">
        <f>IF(Inputs!$F$14*Inputs!$G$14=0,0,Inputs!$F$14*Inputs!$G$14*MAX(0,MIN(Q$6,Inputs!$I$14)-MAX(Q$5,Inputs!$H$14)+1)/(Inputs!$I$14-Inputs!$H$14+1))+IF(Inputs!$F$14*(1-Inputs!$G$14)=0,0,Inputs!$F$14*(1-Inputs!$G$14)*MAX(0,MIN(Q$6,Inputs!$K$14)-MAX(Q$5,Inputs!$J$14)+1)/(Inputs!$K$14-Inputs!$J$14+1))</f>
        <v/>
      </c>
      <c r="R14" s="9">
        <f>SUM(D14:Q14)</f>
        <v/>
      </c>
      <c r="S14" s="9">
        <f>R14-C14</f>
        <v/>
      </c>
      <c r="U14" s="9">
        <f>IF(Inputs!$F$14*Inputs!$G$14=0,0,Inputs!$F$14*Inputs!$G$14*MAX(0,MIN(U$6,Inputs!$I$14)-MAX(U$5,Inputs!$H$14)+1)/(Inputs!$I$14-Inputs!$H$14+1))+IF(Inputs!$F$14*(1-Inputs!$G$14)=0,0,Inputs!$F$14*(1-Inputs!$G$14)*MAX(0,MIN(U$6,Inputs!$K$14)-MAX(U$5,Inputs!$J$14)+1)/(Inputs!$K$14-Inputs!$J$14+1))</f>
        <v/>
      </c>
      <c r="V14" s="9">
        <f>IF(Inputs!$F$14*Inputs!$G$14=0,0,Inputs!$F$14*Inputs!$G$14*MAX(0,MIN(V$6,Inputs!$I$14)-MAX(V$5,Inputs!$H$14)+1)/(Inputs!$I$14-Inputs!$H$14+1))+IF(Inputs!$F$14*(1-Inputs!$G$14)=0,0,Inputs!$F$14*(1-Inputs!$G$14)*MAX(0,MIN(V$6,Inputs!$K$14)-MAX(V$5,Inputs!$J$14)+1)/(Inputs!$K$14-Inputs!$J$14+1))</f>
        <v/>
      </c>
      <c r="W14" s="9">
        <f>IF(Inputs!$F$14*Inputs!$G$14=0,0,Inputs!$F$14*Inputs!$G$14*MAX(0,MIN(W$6,Inputs!$I$14)-MAX(W$5,Inputs!$H$14)+1)/(Inputs!$I$14-Inputs!$H$14+1))+IF(Inputs!$F$14*(1-Inputs!$G$14)=0,0,Inputs!$F$14*(1-Inputs!$G$14)*MAX(0,MIN(W$6,Inputs!$K$14)-MAX(W$5,Inputs!$J$14)+1)/(Inputs!$K$14-Inputs!$J$14+1))</f>
        <v/>
      </c>
    </row>
    <row r="15">
      <c r="A15" s="18">
        <f>Inputs!A15</f>
        <v/>
      </c>
      <c r="B15" s="18">
        <f>Inputs!B15</f>
        <v/>
      </c>
      <c r="C15" s="19">
        <f>Inputs!F15</f>
        <v/>
      </c>
      <c r="D15" s="9">
        <f>IF(Inputs!$F$15*Inputs!$G$15=0,0,Inputs!$F$15*Inputs!$G$15*MAX(0,MIN(D$6,Inputs!$I$15)-MAX(D$5,Inputs!$H$15)+1)/(Inputs!$I$15-Inputs!$H$15+1))+IF(Inputs!$F$15*(1-Inputs!$G$15)=0,0,Inputs!$F$15*(1-Inputs!$G$15)*MAX(0,MIN(D$6,Inputs!$K$15)-MAX(D$5,Inputs!$J$15)+1)/(Inputs!$K$15-Inputs!$J$15+1))</f>
        <v/>
      </c>
      <c r="E15" s="9">
        <f>IF(Inputs!$F$15*Inputs!$G$15=0,0,Inputs!$F$15*Inputs!$G$15*MAX(0,MIN(E$6,Inputs!$I$15)-MAX(E$5,Inputs!$H$15)+1)/(Inputs!$I$15-Inputs!$H$15+1))+IF(Inputs!$F$15*(1-Inputs!$G$15)=0,0,Inputs!$F$15*(1-Inputs!$G$15)*MAX(0,MIN(E$6,Inputs!$K$15)-MAX(E$5,Inputs!$J$15)+1)/(Inputs!$K$15-Inputs!$J$15+1))</f>
        <v/>
      </c>
      <c r="F15" s="9">
        <f>IF(Inputs!$F$15*Inputs!$G$15=0,0,Inputs!$F$15*Inputs!$G$15*MAX(0,MIN(F$6,Inputs!$I$15)-MAX(F$5,Inputs!$H$15)+1)/(Inputs!$I$15-Inputs!$H$15+1))+IF(Inputs!$F$15*(1-Inputs!$G$15)=0,0,Inputs!$F$15*(1-Inputs!$G$15)*MAX(0,MIN(F$6,Inputs!$K$15)-MAX(F$5,Inputs!$J$15)+1)/(Inputs!$K$15-Inputs!$J$15+1))</f>
        <v/>
      </c>
      <c r="G15" s="9">
        <f>IF(Inputs!$F$15*Inputs!$G$15=0,0,Inputs!$F$15*Inputs!$G$15*MAX(0,MIN(G$6,Inputs!$I$15)-MAX(G$5,Inputs!$H$15)+1)/(Inputs!$I$15-Inputs!$H$15+1))+IF(Inputs!$F$15*(1-Inputs!$G$15)=0,0,Inputs!$F$15*(1-Inputs!$G$15)*MAX(0,MIN(G$6,Inputs!$K$15)-MAX(G$5,Inputs!$J$15)+1)/(Inputs!$K$15-Inputs!$J$15+1))</f>
        <v/>
      </c>
      <c r="H15" s="9">
        <f>IF(Inputs!$F$15*Inputs!$G$15=0,0,Inputs!$F$15*Inputs!$G$15*MAX(0,MIN(H$6,Inputs!$I$15)-MAX(H$5,Inputs!$H$15)+1)/(Inputs!$I$15-Inputs!$H$15+1))+IF(Inputs!$F$15*(1-Inputs!$G$15)=0,0,Inputs!$F$15*(1-Inputs!$G$15)*MAX(0,MIN(H$6,Inputs!$K$15)-MAX(H$5,Inputs!$J$15)+1)/(Inputs!$K$15-Inputs!$J$15+1))</f>
        <v/>
      </c>
      <c r="I15" s="9">
        <f>IF(Inputs!$F$15*Inputs!$G$15=0,0,Inputs!$F$15*Inputs!$G$15*MAX(0,MIN(I$6,Inputs!$I$15)-MAX(I$5,Inputs!$H$15)+1)/(Inputs!$I$15-Inputs!$H$15+1))+IF(Inputs!$F$15*(1-Inputs!$G$15)=0,0,Inputs!$F$15*(1-Inputs!$G$15)*MAX(0,MIN(I$6,Inputs!$K$15)-MAX(I$5,Inputs!$J$15)+1)/(Inputs!$K$15-Inputs!$J$15+1))</f>
        <v/>
      </c>
      <c r="J15" s="9">
        <f>IF(Inputs!$F$15*Inputs!$G$15=0,0,Inputs!$F$15*Inputs!$G$15*MAX(0,MIN(J$6,Inputs!$I$15)-MAX(J$5,Inputs!$H$15)+1)/(Inputs!$I$15-Inputs!$H$15+1))+IF(Inputs!$F$15*(1-Inputs!$G$15)=0,0,Inputs!$F$15*(1-Inputs!$G$15)*MAX(0,MIN(J$6,Inputs!$K$15)-MAX(J$5,Inputs!$J$15)+1)/(Inputs!$K$15-Inputs!$J$15+1))</f>
        <v/>
      </c>
      <c r="K15" s="9">
        <f>IF(Inputs!$F$15*Inputs!$G$15=0,0,Inputs!$F$15*Inputs!$G$15*MAX(0,MIN(K$6,Inputs!$I$15)-MAX(K$5,Inputs!$H$15)+1)/(Inputs!$I$15-Inputs!$H$15+1))+IF(Inputs!$F$15*(1-Inputs!$G$15)=0,0,Inputs!$F$15*(1-Inputs!$G$15)*MAX(0,MIN(K$6,Inputs!$K$15)-MAX(K$5,Inputs!$J$15)+1)/(Inputs!$K$15-Inputs!$J$15+1))</f>
        <v/>
      </c>
      <c r="L15" s="9">
        <f>IF(Inputs!$F$15*Inputs!$G$15=0,0,Inputs!$F$15*Inputs!$G$15*MAX(0,MIN(L$6,Inputs!$I$15)-MAX(L$5,Inputs!$H$15)+1)/(Inputs!$I$15-Inputs!$H$15+1))+IF(Inputs!$F$15*(1-Inputs!$G$15)=0,0,Inputs!$F$15*(1-Inputs!$G$15)*MAX(0,MIN(L$6,Inputs!$K$15)-MAX(L$5,Inputs!$J$15)+1)/(Inputs!$K$15-Inputs!$J$15+1))</f>
        <v/>
      </c>
      <c r="M15" s="9">
        <f>IF(Inputs!$F$15*Inputs!$G$15=0,0,Inputs!$F$15*Inputs!$G$15*MAX(0,MIN(M$6,Inputs!$I$15)-MAX(M$5,Inputs!$H$15)+1)/(Inputs!$I$15-Inputs!$H$15+1))+IF(Inputs!$F$15*(1-Inputs!$G$15)=0,0,Inputs!$F$15*(1-Inputs!$G$15)*MAX(0,MIN(M$6,Inputs!$K$15)-MAX(M$5,Inputs!$J$15)+1)/(Inputs!$K$15-Inputs!$J$15+1))</f>
        <v/>
      </c>
      <c r="N15" s="9">
        <f>IF(Inputs!$F$15*Inputs!$G$15=0,0,Inputs!$F$15*Inputs!$G$15*MAX(0,MIN(N$6,Inputs!$I$15)-MAX(N$5,Inputs!$H$15)+1)/(Inputs!$I$15-Inputs!$H$15+1))+IF(Inputs!$F$15*(1-Inputs!$G$15)=0,0,Inputs!$F$15*(1-Inputs!$G$15)*MAX(0,MIN(N$6,Inputs!$K$15)-MAX(N$5,Inputs!$J$15)+1)/(Inputs!$K$15-Inputs!$J$15+1))</f>
        <v/>
      </c>
      <c r="O15" s="9">
        <f>IF(Inputs!$F$15*Inputs!$G$15=0,0,Inputs!$F$15*Inputs!$G$15*MAX(0,MIN(O$6,Inputs!$I$15)-MAX(O$5,Inputs!$H$15)+1)/(Inputs!$I$15-Inputs!$H$15+1))+IF(Inputs!$F$15*(1-Inputs!$G$15)=0,0,Inputs!$F$15*(1-Inputs!$G$15)*MAX(0,MIN(O$6,Inputs!$K$15)-MAX(O$5,Inputs!$J$15)+1)/(Inputs!$K$15-Inputs!$J$15+1))</f>
        <v/>
      </c>
      <c r="P15" s="9">
        <f>IF(Inputs!$F$15*Inputs!$G$15=0,0,Inputs!$F$15*Inputs!$G$15*MAX(0,MIN(P$6,Inputs!$I$15)-MAX(P$5,Inputs!$H$15)+1)/(Inputs!$I$15-Inputs!$H$15+1))+IF(Inputs!$F$15*(1-Inputs!$G$15)=0,0,Inputs!$F$15*(1-Inputs!$G$15)*MAX(0,MIN(P$6,Inputs!$K$15)-MAX(P$5,Inputs!$J$15)+1)/(Inputs!$K$15-Inputs!$J$15+1))</f>
        <v/>
      </c>
      <c r="Q15" s="9">
        <f>IF(Inputs!$F$15*Inputs!$G$15=0,0,Inputs!$F$15*Inputs!$G$15*MAX(0,MIN(Q$6,Inputs!$I$15)-MAX(Q$5,Inputs!$H$15)+1)/(Inputs!$I$15-Inputs!$H$15+1))+IF(Inputs!$F$15*(1-Inputs!$G$15)=0,0,Inputs!$F$15*(1-Inputs!$G$15)*MAX(0,MIN(Q$6,Inputs!$K$15)-MAX(Q$5,Inputs!$J$15)+1)/(Inputs!$K$15-Inputs!$J$15+1))</f>
        <v/>
      </c>
      <c r="R15" s="9">
        <f>SUM(D15:Q15)</f>
        <v/>
      </c>
      <c r="S15" s="9">
        <f>R15-C15</f>
        <v/>
      </c>
      <c r="U15" s="9">
        <f>IF(Inputs!$F$15*Inputs!$G$15=0,0,Inputs!$F$15*Inputs!$G$15*MAX(0,MIN(U$6,Inputs!$I$15)-MAX(U$5,Inputs!$H$15)+1)/(Inputs!$I$15-Inputs!$H$15+1))+IF(Inputs!$F$15*(1-Inputs!$G$15)=0,0,Inputs!$F$15*(1-Inputs!$G$15)*MAX(0,MIN(U$6,Inputs!$K$15)-MAX(U$5,Inputs!$J$15)+1)/(Inputs!$K$15-Inputs!$J$15+1))</f>
        <v/>
      </c>
      <c r="V15" s="9">
        <f>IF(Inputs!$F$15*Inputs!$G$15=0,0,Inputs!$F$15*Inputs!$G$15*MAX(0,MIN(V$6,Inputs!$I$15)-MAX(V$5,Inputs!$H$15)+1)/(Inputs!$I$15-Inputs!$H$15+1))+IF(Inputs!$F$15*(1-Inputs!$G$15)=0,0,Inputs!$F$15*(1-Inputs!$G$15)*MAX(0,MIN(V$6,Inputs!$K$15)-MAX(V$5,Inputs!$J$15)+1)/(Inputs!$K$15-Inputs!$J$15+1))</f>
        <v/>
      </c>
      <c r="W15" s="9">
        <f>IF(Inputs!$F$15*Inputs!$G$15=0,0,Inputs!$F$15*Inputs!$G$15*MAX(0,MIN(W$6,Inputs!$I$15)-MAX(W$5,Inputs!$H$15)+1)/(Inputs!$I$15-Inputs!$H$15+1))+IF(Inputs!$F$15*(1-Inputs!$G$15)=0,0,Inputs!$F$15*(1-Inputs!$G$15)*MAX(0,MIN(W$6,Inputs!$K$15)-MAX(W$5,Inputs!$J$15)+1)/(Inputs!$K$15-Inputs!$J$15+1))</f>
        <v/>
      </c>
    </row>
    <row r="16">
      <c r="A16" s="18">
        <f>Inputs!A16</f>
        <v/>
      </c>
      <c r="B16" s="18">
        <f>Inputs!B16</f>
        <v/>
      </c>
      <c r="C16" s="19">
        <f>Inputs!F16</f>
        <v/>
      </c>
      <c r="D16" s="9">
        <f>IF(Inputs!$F$16*Inputs!$G$16=0,0,Inputs!$F$16*Inputs!$G$16*MAX(0,MIN(D$6,Inputs!$I$16)-MAX(D$5,Inputs!$H$16)+1)/(Inputs!$I$16-Inputs!$H$16+1))+IF(Inputs!$F$16*(1-Inputs!$G$16)=0,0,Inputs!$F$16*(1-Inputs!$G$16)*MAX(0,MIN(D$6,Inputs!$K$16)-MAX(D$5,Inputs!$J$16)+1)/(Inputs!$K$16-Inputs!$J$16+1))</f>
        <v/>
      </c>
      <c r="E16" s="9">
        <f>IF(Inputs!$F$16*Inputs!$G$16=0,0,Inputs!$F$16*Inputs!$G$16*MAX(0,MIN(E$6,Inputs!$I$16)-MAX(E$5,Inputs!$H$16)+1)/(Inputs!$I$16-Inputs!$H$16+1))+IF(Inputs!$F$16*(1-Inputs!$G$16)=0,0,Inputs!$F$16*(1-Inputs!$G$16)*MAX(0,MIN(E$6,Inputs!$K$16)-MAX(E$5,Inputs!$J$16)+1)/(Inputs!$K$16-Inputs!$J$16+1))</f>
        <v/>
      </c>
      <c r="F16" s="9">
        <f>IF(Inputs!$F$16*Inputs!$G$16=0,0,Inputs!$F$16*Inputs!$G$16*MAX(0,MIN(F$6,Inputs!$I$16)-MAX(F$5,Inputs!$H$16)+1)/(Inputs!$I$16-Inputs!$H$16+1))+IF(Inputs!$F$16*(1-Inputs!$G$16)=0,0,Inputs!$F$16*(1-Inputs!$G$16)*MAX(0,MIN(F$6,Inputs!$K$16)-MAX(F$5,Inputs!$J$16)+1)/(Inputs!$K$16-Inputs!$J$16+1))</f>
        <v/>
      </c>
      <c r="G16" s="9">
        <f>IF(Inputs!$F$16*Inputs!$G$16=0,0,Inputs!$F$16*Inputs!$G$16*MAX(0,MIN(G$6,Inputs!$I$16)-MAX(G$5,Inputs!$H$16)+1)/(Inputs!$I$16-Inputs!$H$16+1))+IF(Inputs!$F$16*(1-Inputs!$G$16)=0,0,Inputs!$F$16*(1-Inputs!$G$16)*MAX(0,MIN(G$6,Inputs!$K$16)-MAX(G$5,Inputs!$J$16)+1)/(Inputs!$K$16-Inputs!$J$16+1))</f>
        <v/>
      </c>
      <c r="H16" s="9">
        <f>IF(Inputs!$F$16*Inputs!$G$16=0,0,Inputs!$F$16*Inputs!$G$16*MAX(0,MIN(H$6,Inputs!$I$16)-MAX(H$5,Inputs!$H$16)+1)/(Inputs!$I$16-Inputs!$H$16+1))+IF(Inputs!$F$16*(1-Inputs!$G$16)=0,0,Inputs!$F$16*(1-Inputs!$G$16)*MAX(0,MIN(H$6,Inputs!$K$16)-MAX(H$5,Inputs!$J$16)+1)/(Inputs!$K$16-Inputs!$J$16+1))</f>
        <v/>
      </c>
      <c r="I16" s="9">
        <f>IF(Inputs!$F$16*Inputs!$G$16=0,0,Inputs!$F$16*Inputs!$G$16*MAX(0,MIN(I$6,Inputs!$I$16)-MAX(I$5,Inputs!$H$16)+1)/(Inputs!$I$16-Inputs!$H$16+1))+IF(Inputs!$F$16*(1-Inputs!$G$16)=0,0,Inputs!$F$16*(1-Inputs!$G$16)*MAX(0,MIN(I$6,Inputs!$K$16)-MAX(I$5,Inputs!$J$16)+1)/(Inputs!$K$16-Inputs!$J$16+1))</f>
        <v/>
      </c>
      <c r="J16" s="9">
        <f>IF(Inputs!$F$16*Inputs!$G$16=0,0,Inputs!$F$16*Inputs!$G$16*MAX(0,MIN(J$6,Inputs!$I$16)-MAX(J$5,Inputs!$H$16)+1)/(Inputs!$I$16-Inputs!$H$16+1))+IF(Inputs!$F$16*(1-Inputs!$G$16)=0,0,Inputs!$F$16*(1-Inputs!$G$16)*MAX(0,MIN(J$6,Inputs!$K$16)-MAX(J$5,Inputs!$J$16)+1)/(Inputs!$K$16-Inputs!$J$16+1))</f>
        <v/>
      </c>
      <c r="K16" s="9">
        <f>IF(Inputs!$F$16*Inputs!$G$16=0,0,Inputs!$F$16*Inputs!$G$16*MAX(0,MIN(K$6,Inputs!$I$16)-MAX(K$5,Inputs!$H$16)+1)/(Inputs!$I$16-Inputs!$H$16+1))+IF(Inputs!$F$16*(1-Inputs!$G$16)=0,0,Inputs!$F$16*(1-Inputs!$G$16)*MAX(0,MIN(K$6,Inputs!$K$16)-MAX(K$5,Inputs!$J$16)+1)/(Inputs!$K$16-Inputs!$J$16+1))</f>
        <v/>
      </c>
      <c r="L16" s="9">
        <f>IF(Inputs!$F$16*Inputs!$G$16=0,0,Inputs!$F$16*Inputs!$G$16*MAX(0,MIN(L$6,Inputs!$I$16)-MAX(L$5,Inputs!$H$16)+1)/(Inputs!$I$16-Inputs!$H$16+1))+IF(Inputs!$F$16*(1-Inputs!$G$16)=0,0,Inputs!$F$16*(1-Inputs!$G$16)*MAX(0,MIN(L$6,Inputs!$K$16)-MAX(L$5,Inputs!$J$16)+1)/(Inputs!$K$16-Inputs!$J$16+1))</f>
        <v/>
      </c>
      <c r="M16" s="9">
        <f>IF(Inputs!$F$16*Inputs!$G$16=0,0,Inputs!$F$16*Inputs!$G$16*MAX(0,MIN(M$6,Inputs!$I$16)-MAX(M$5,Inputs!$H$16)+1)/(Inputs!$I$16-Inputs!$H$16+1))+IF(Inputs!$F$16*(1-Inputs!$G$16)=0,0,Inputs!$F$16*(1-Inputs!$G$16)*MAX(0,MIN(M$6,Inputs!$K$16)-MAX(M$5,Inputs!$J$16)+1)/(Inputs!$K$16-Inputs!$J$16+1))</f>
        <v/>
      </c>
      <c r="N16" s="9">
        <f>IF(Inputs!$F$16*Inputs!$G$16=0,0,Inputs!$F$16*Inputs!$G$16*MAX(0,MIN(N$6,Inputs!$I$16)-MAX(N$5,Inputs!$H$16)+1)/(Inputs!$I$16-Inputs!$H$16+1))+IF(Inputs!$F$16*(1-Inputs!$G$16)=0,0,Inputs!$F$16*(1-Inputs!$G$16)*MAX(0,MIN(N$6,Inputs!$K$16)-MAX(N$5,Inputs!$J$16)+1)/(Inputs!$K$16-Inputs!$J$16+1))</f>
        <v/>
      </c>
      <c r="O16" s="9">
        <f>IF(Inputs!$F$16*Inputs!$G$16=0,0,Inputs!$F$16*Inputs!$G$16*MAX(0,MIN(O$6,Inputs!$I$16)-MAX(O$5,Inputs!$H$16)+1)/(Inputs!$I$16-Inputs!$H$16+1))+IF(Inputs!$F$16*(1-Inputs!$G$16)=0,0,Inputs!$F$16*(1-Inputs!$G$16)*MAX(0,MIN(O$6,Inputs!$K$16)-MAX(O$5,Inputs!$J$16)+1)/(Inputs!$K$16-Inputs!$J$16+1))</f>
        <v/>
      </c>
      <c r="P16" s="9">
        <f>IF(Inputs!$F$16*Inputs!$G$16=0,0,Inputs!$F$16*Inputs!$G$16*MAX(0,MIN(P$6,Inputs!$I$16)-MAX(P$5,Inputs!$H$16)+1)/(Inputs!$I$16-Inputs!$H$16+1))+IF(Inputs!$F$16*(1-Inputs!$G$16)=0,0,Inputs!$F$16*(1-Inputs!$G$16)*MAX(0,MIN(P$6,Inputs!$K$16)-MAX(P$5,Inputs!$J$16)+1)/(Inputs!$K$16-Inputs!$J$16+1))</f>
        <v/>
      </c>
      <c r="Q16" s="9">
        <f>IF(Inputs!$F$16*Inputs!$G$16=0,0,Inputs!$F$16*Inputs!$G$16*MAX(0,MIN(Q$6,Inputs!$I$16)-MAX(Q$5,Inputs!$H$16)+1)/(Inputs!$I$16-Inputs!$H$16+1))+IF(Inputs!$F$16*(1-Inputs!$G$16)=0,0,Inputs!$F$16*(1-Inputs!$G$16)*MAX(0,MIN(Q$6,Inputs!$K$16)-MAX(Q$5,Inputs!$J$16)+1)/(Inputs!$K$16-Inputs!$J$16+1))</f>
        <v/>
      </c>
      <c r="R16" s="9">
        <f>SUM(D16:Q16)</f>
        <v/>
      </c>
      <c r="S16" s="9">
        <f>R16-C16</f>
        <v/>
      </c>
      <c r="U16" s="9">
        <f>IF(Inputs!$F$16*Inputs!$G$16=0,0,Inputs!$F$16*Inputs!$G$16*MAX(0,MIN(U$6,Inputs!$I$16)-MAX(U$5,Inputs!$H$16)+1)/(Inputs!$I$16-Inputs!$H$16+1))+IF(Inputs!$F$16*(1-Inputs!$G$16)=0,0,Inputs!$F$16*(1-Inputs!$G$16)*MAX(0,MIN(U$6,Inputs!$K$16)-MAX(U$5,Inputs!$J$16)+1)/(Inputs!$K$16-Inputs!$J$16+1))</f>
        <v/>
      </c>
      <c r="V16" s="9">
        <f>IF(Inputs!$F$16*Inputs!$G$16=0,0,Inputs!$F$16*Inputs!$G$16*MAX(0,MIN(V$6,Inputs!$I$16)-MAX(V$5,Inputs!$H$16)+1)/(Inputs!$I$16-Inputs!$H$16+1))+IF(Inputs!$F$16*(1-Inputs!$G$16)=0,0,Inputs!$F$16*(1-Inputs!$G$16)*MAX(0,MIN(V$6,Inputs!$K$16)-MAX(V$5,Inputs!$J$16)+1)/(Inputs!$K$16-Inputs!$J$16+1))</f>
        <v/>
      </c>
      <c r="W16" s="9">
        <f>IF(Inputs!$F$16*Inputs!$G$16=0,0,Inputs!$F$16*Inputs!$G$16*MAX(0,MIN(W$6,Inputs!$I$16)-MAX(W$5,Inputs!$H$16)+1)/(Inputs!$I$16-Inputs!$H$16+1))+IF(Inputs!$F$16*(1-Inputs!$G$16)=0,0,Inputs!$F$16*(1-Inputs!$G$16)*MAX(0,MIN(W$6,Inputs!$K$16)-MAX(W$5,Inputs!$J$16)+1)/(Inputs!$K$16-Inputs!$J$16+1))</f>
        <v/>
      </c>
    </row>
    <row r="17">
      <c r="A17" s="18">
        <f>Inputs!A17</f>
        <v/>
      </c>
      <c r="B17" s="18">
        <f>Inputs!B17</f>
        <v/>
      </c>
      <c r="C17" s="19">
        <f>Inputs!F17</f>
        <v/>
      </c>
      <c r="D17" s="9">
        <f>IF(Inputs!$F$17*Inputs!$G$17=0,0,Inputs!$F$17*Inputs!$G$17*MAX(0,MIN(D$6,Inputs!$I$17)-MAX(D$5,Inputs!$H$17)+1)/(Inputs!$I$17-Inputs!$H$17+1))+IF(Inputs!$F$17*(1-Inputs!$G$17)=0,0,Inputs!$F$17*(1-Inputs!$G$17)*MAX(0,MIN(D$6,Inputs!$K$17)-MAX(D$5,Inputs!$J$17)+1)/(Inputs!$K$17-Inputs!$J$17+1))</f>
        <v/>
      </c>
      <c r="E17" s="9">
        <f>IF(Inputs!$F$17*Inputs!$G$17=0,0,Inputs!$F$17*Inputs!$G$17*MAX(0,MIN(E$6,Inputs!$I$17)-MAX(E$5,Inputs!$H$17)+1)/(Inputs!$I$17-Inputs!$H$17+1))+IF(Inputs!$F$17*(1-Inputs!$G$17)=0,0,Inputs!$F$17*(1-Inputs!$G$17)*MAX(0,MIN(E$6,Inputs!$K$17)-MAX(E$5,Inputs!$J$17)+1)/(Inputs!$K$17-Inputs!$J$17+1))</f>
        <v/>
      </c>
      <c r="F17" s="9">
        <f>IF(Inputs!$F$17*Inputs!$G$17=0,0,Inputs!$F$17*Inputs!$G$17*MAX(0,MIN(F$6,Inputs!$I$17)-MAX(F$5,Inputs!$H$17)+1)/(Inputs!$I$17-Inputs!$H$17+1))+IF(Inputs!$F$17*(1-Inputs!$G$17)=0,0,Inputs!$F$17*(1-Inputs!$G$17)*MAX(0,MIN(F$6,Inputs!$K$17)-MAX(F$5,Inputs!$J$17)+1)/(Inputs!$K$17-Inputs!$J$17+1))</f>
        <v/>
      </c>
      <c r="G17" s="9">
        <f>IF(Inputs!$F$17*Inputs!$G$17=0,0,Inputs!$F$17*Inputs!$G$17*MAX(0,MIN(G$6,Inputs!$I$17)-MAX(G$5,Inputs!$H$17)+1)/(Inputs!$I$17-Inputs!$H$17+1))+IF(Inputs!$F$17*(1-Inputs!$G$17)=0,0,Inputs!$F$17*(1-Inputs!$G$17)*MAX(0,MIN(G$6,Inputs!$K$17)-MAX(G$5,Inputs!$J$17)+1)/(Inputs!$K$17-Inputs!$J$17+1))</f>
        <v/>
      </c>
      <c r="H17" s="9">
        <f>IF(Inputs!$F$17*Inputs!$G$17=0,0,Inputs!$F$17*Inputs!$G$17*MAX(0,MIN(H$6,Inputs!$I$17)-MAX(H$5,Inputs!$H$17)+1)/(Inputs!$I$17-Inputs!$H$17+1))+IF(Inputs!$F$17*(1-Inputs!$G$17)=0,0,Inputs!$F$17*(1-Inputs!$G$17)*MAX(0,MIN(H$6,Inputs!$K$17)-MAX(H$5,Inputs!$J$17)+1)/(Inputs!$K$17-Inputs!$J$17+1))</f>
        <v/>
      </c>
      <c r="I17" s="9">
        <f>IF(Inputs!$F$17*Inputs!$G$17=0,0,Inputs!$F$17*Inputs!$G$17*MAX(0,MIN(I$6,Inputs!$I$17)-MAX(I$5,Inputs!$H$17)+1)/(Inputs!$I$17-Inputs!$H$17+1))+IF(Inputs!$F$17*(1-Inputs!$G$17)=0,0,Inputs!$F$17*(1-Inputs!$G$17)*MAX(0,MIN(I$6,Inputs!$K$17)-MAX(I$5,Inputs!$J$17)+1)/(Inputs!$K$17-Inputs!$J$17+1))</f>
        <v/>
      </c>
      <c r="J17" s="9">
        <f>IF(Inputs!$F$17*Inputs!$G$17=0,0,Inputs!$F$17*Inputs!$G$17*MAX(0,MIN(J$6,Inputs!$I$17)-MAX(J$5,Inputs!$H$17)+1)/(Inputs!$I$17-Inputs!$H$17+1))+IF(Inputs!$F$17*(1-Inputs!$G$17)=0,0,Inputs!$F$17*(1-Inputs!$G$17)*MAX(0,MIN(J$6,Inputs!$K$17)-MAX(J$5,Inputs!$J$17)+1)/(Inputs!$K$17-Inputs!$J$17+1))</f>
        <v/>
      </c>
      <c r="K17" s="9">
        <f>IF(Inputs!$F$17*Inputs!$G$17=0,0,Inputs!$F$17*Inputs!$G$17*MAX(0,MIN(K$6,Inputs!$I$17)-MAX(K$5,Inputs!$H$17)+1)/(Inputs!$I$17-Inputs!$H$17+1))+IF(Inputs!$F$17*(1-Inputs!$G$17)=0,0,Inputs!$F$17*(1-Inputs!$G$17)*MAX(0,MIN(K$6,Inputs!$K$17)-MAX(K$5,Inputs!$J$17)+1)/(Inputs!$K$17-Inputs!$J$17+1))</f>
        <v/>
      </c>
      <c r="L17" s="9">
        <f>IF(Inputs!$F$17*Inputs!$G$17=0,0,Inputs!$F$17*Inputs!$G$17*MAX(0,MIN(L$6,Inputs!$I$17)-MAX(L$5,Inputs!$H$17)+1)/(Inputs!$I$17-Inputs!$H$17+1))+IF(Inputs!$F$17*(1-Inputs!$G$17)=0,0,Inputs!$F$17*(1-Inputs!$G$17)*MAX(0,MIN(L$6,Inputs!$K$17)-MAX(L$5,Inputs!$J$17)+1)/(Inputs!$K$17-Inputs!$J$17+1))</f>
        <v/>
      </c>
      <c r="M17" s="9">
        <f>IF(Inputs!$F$17*Inputs!$G$17=0,0,Inputs!$F$17*Inputs!$G$17*MAX(0,MIN(M$6,Inputs!$I$17)-MAX(M$5,Inputs!$H$17)+1)/(Inputs!$I$17-Inputs!$H$17+1))+IF(Inputs!$F$17*(1-Inputs!$G$17)=0,0,Inputs!$F$17*(1-Inputs!$G$17)*MAX(0,MIN(M$6,Inputs!$K$17)-MAX(M$5,Inputs!$J$17)+1)/(Inputs!$K$17-Inputs!$J$17+1))</f>
        <v/>
      </c>
      <c r="N17" s="9">
        <f>IF(Inputs!$F$17*Inputs!$G$17=0,0,Inputs!$F$17*Inputs!$G$17*MAX(0,MIN(N$6,Inputs!$I$17)-MAX(N$5,Inputs!$H$17)+1)/(Inputs!$I$17-Inputs!$H$17+1))+IF(Inputs!$F$17*(1-Inputs!$G$17)=0,0,Inputs!$F$17*(1-Inputs!$G$17)*MAX(0,MIN(N$6,Inputs!$K$17)-MAX(N$5,Inputs!$J$17)+1)/(Inputs!$K$17-Inputs!$J$17+1))</f>
        <v/>
      </c>
      <c r="O17" s="9">
        <f>IF(Inputs!$F$17*Inputs!$G$17=0,0,Inputs!$F$17*Inputs!$G$17*MAX(0,MIN(O$6,Inputs!$I$17)-MAX(O$5,Inputs!$H$17)+1)/(Inputs!$I$17-Inputs!$H$17+1))+IF(Inputs!$F$17*(1-Inputs!$G$17)=0,0,Inputs!$F$17*(1-Inputs!$G$17)*MAX(0,MIN(O$6,Inputs!$K$17)-MAX(O$5,Inputs!$J$17)+1)/(Inputs!$K$17-Inputs!$J$17+1))</f>
        <v/>
      </c>
      <c r="P17" s="9">
        <f>IF(Inputs!$F$17*Inputs!$G$17=0,0,Inputs!$F$17*Inputs!$G$17*MAX(0,MIN(P$6,Inputs!$I$17)-MAX(P$5,Inputs!$H$17)+1)/(Inputs!$I$17-Inputs!$H$17+1))+IF(Inputs!$F$17*(1-Inputs!$G$17)=0,0,Inputs!$F$17*(1-Inputs!$G$17)*MAX(0,MIN(P$6,Inputs!$K$17)-MAX(P$5,Inputs!$J$17)+1)/(Inputs!$K$17-Inputs!$J$17+1))</f>
        <v/>
      </c>
      <c r="Q17" s="9">
        <f>IF(Inputs!$F$17*Inputs!$G$17=0,0,Inputs!$F$17*Inputs!$G$17*MAX(0,MIN(Q$6,Inputs!$I$17)-MAX(Q$5,Inputs!$H$17)+1)/(Inputs!$I$17-Inputs!$H$17+1))+IF(Inputs!$F$17*(1-Inputs!$G$17)=0,0,Inputs!$F$17*(1-Inputs!$G$17)*MAX(0,MIN(Q$6,Inputs!$K$17)-MAX(Q$5,Inputs!$J$17)+1)/(Inputs!$K$17-Inputs!$J$17+1))</f>
        <v/>
      </c>
      <c r="R17" s="9">
        <f>SUM(D17:Q17)</f>
        <v/>
      </c>
      <c r="S17" s="9">
        <f>R17-C17</f>
        <v/>
      </c>
      <c r="U17" s="9">
        <f>IF(Inputs!$F$17*Inputs!$G$17=0,0,Inputs!$F$17*Inputs!$G$17*MAX(0,MIN(U$6,Inputs!$I$17)-MAX(U$5,Inputs!$H$17)+1)/(Inputs!$I$17-Inputs!$H$17+1))+IF(Inputs!$F$17*(1-Inputs!$G$17)=0,0,Inputs!$F$17*(1-Inputs!$G$17)*MAX(0,MIN(U$6,Inputs!$K$17)-MAX(U$5,Inputs!$J$17)+1)/(Inputs!$K$17-Inputs!$J$17+1))</f>
        <v/>
      </c>
      <c r="V17" s="9">
        <f>IF(Inputs!$F$17*Inputs!$G$17=0,0,Inputs!$F$17*Inputs!$G$17*MAX(0,MIN(V$6,Inputs!$I$17)-MAX(V$5,Inputs!$H$17)+1)/(Inputs!$I$17-Inputs!$H$17+1))+IF(Inputs!$F$17*(1-Inputs!$G$17)=0,0,Inputs!$F$17*(1-Inputs!$G$17)*MAX(0,MIN(V$6,Inputs!$K$17)-MAX(V$5,Inputs!$J$17)+1)/(Inputs!$K$17-Inputs!$J$17+1))</f>
        <v/>
      </c>
      <c r="W17" s="9">
        <f>IF(Inputs!$F$17*Inputs!$G$17=0,0,Inputs!$F$17*Inputs!$G$17*MAX(0,MIN(W$6,Inputs!$I$17)-MAX(W$5,Inputs!$H$17)+1)/(Inputs!$I$17-Inputs!$H$17+1))+IF(Inputs!$F$17*(1-Inputs!$G$17)=0,0,Inputs!$F$17*(1-Inputs!$G$17)*MAX(0,MIN(W$6,Inputs!$K$17)-MAX(W$5,Inputs!$J$17)+1)/(Inputs!$K$17-Inputs!$J$17+1))</f>
        <v/>
      </c>
    </row>
    <row r="18">
      <c r="A18" s="20" t="n"/>
      <c r="B18" s="20" t="inlineStr">
        <is>
          <t>WEEKLY TOTAL</t>
        </is>
      </c>
      <c r="C18" s="21">
        <f>SUM(C7:C17)</f>
        <v/>
      </c>
      <c r="D18" s="21">
        <f>SUM(D7:D17)</f>
        <v/>
      </c>
      <c r="E18" s="21">
        <f>SUM(E7:E17)</f>
        <v/>
      </c>
      <c r="F18" s="21">
        <f>SUM(F7:F17)</f>
        <v/>
      </c>
      <c r="G18" s="21">
        <f>SUM(G7:G17)</f>
        <v/>
      </c>
      <c r="H18" s="21">
        <f>SUM(H7:H17)</f>
        <v/>
      </c>
      <c r="I18" s="21">
        <f>SUM(I7:I17)</f>
        <v/>
      </c>
      <c r="J18" s="21">
        <f>SUM(J7:J17)</f>
        <v/>
      </c>
      <c r="K18" s="21">
        <f>SUM(K7:K17)</f>
        <v/>
      </c>
      <c r="L18" s="21">
        <f>SUM(L7:L17)</f>
        <v/>
      </c>
      <c r="M18" s="21">
        <f>SUM(M7:M17)</f>
        <v/>
      </c>
      <c r="N18" s="21">
        <f>SUM(N7:N17)</f>
        <v/>
      </c>
      <c r="O18" s="21">
        <f>SUM(O7:O17)</f>
        <v/>
      </c>
      <c r="P18" s="21">
        <f>SUM(P7:P17)</f>
        <v/>
      </c>
      <c r="Q18" s="21">
        <f>SUM(Q7:Q17)</f>
        <v/>
      </c>
      <c r="R18" s="21">
        <f>SUM(R7:R17)</f>
        <v/>
      </c>
      <c r="S18" s="21">
        <f>SUM(S7:S17)</f>
        <v/>
      </c>
      <c r="U18" s="21">
        <f>SUM(U7:U17)</f>
        <v/>
      </c>
      <c r="V18" s="21">
        <f>SUM(V7:V17)</f>
        <v/>
      </c>
      <c r="W18" s="21">
        <f>SUM(W7:W17)</f>
        <v/>
      </c>
    </row>
    <row r="19">
      <c r="A19" s="12" t="n"/>
      <c r="B19" s="12" t="inlineStr">
        <is>
          <t>CUMULATIVE</t>
        </is>
      </c>
      <c r="D19" s="22">
        <f>D18</f>
        <v/>
      </c>
      <c r="E19" s="22">
        <f>D19+E18</f>
        <v/>
      </c>
      <c r="F19" s="22">
        <f>E19+F18</f>
        <v/>
      </c>
      <c r="G19" s="22">
        <f>F19+G18</f>
        <v/>
      </c>
      <c r="H19" s="22">
        <f>G19+H18</f>
        <v/>
      </c>
      <c r="I19" s="22">
        <f>H19+I18</f>
        <v/>
      </c>
      <c r="J19" s="22">
        <f>I19+J18</f>
        <v/>
      </c>
      <c r="K19" s="22">
        <f>J19+K18</f>
        <v/>
      </c>
      <c r="L19" s="22">
        <f>K19+L18</f>
        <v/>
      </c>
      <c r="M19" s="22">
        <f>L19+M18</f>
        <v/>
      </c>
      <c r="N19" s="22">
        <f>M19+N18</f>
        <v/>
      </c>
      <c r="O19" s="22">
        <f>N19+O18</f>
        <v/>
      </c>
      <c r="P19" s="22">
        <f>O19+P18</f>
        <v/>
      </c>
      <c r="Q19" s="22">
        <f>P19+Q18</f>
        <v/>
      </c>
    </row>
    <row r="21">
      <c r="B21" s="12" t="inlineStr">
        <is>
          <t>Paid to 30 Sep</t>
        </is>
      </c>
      <c r="C21" s="23">
        <f>Inputs!E18</f>
        <v/>
      </c>
    </row>
    <row r="22">
      <c r="B22" s="12" t="inlineStr">
        <is>
          <t>Scheduled Oct–Dec</t>
        </is>
      </c>
      <c r="C22" s="23">
        <f>R18</f>
        <v/>
      </c>
    </row>
    <row r="23">
      <c r="B23" s="12" t="inlineStr">
        <is>
          <t>Total cost</t>
        </is>
      </c>
      <c r="C23" s="23">
        <f>C21+C22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2026-09-30T04:38:33Z</dcterms:created>
  <dcterms:modified xsi:type="dcterms:W3CDTF">2026-09-30T04:38:33Z</dcterms:modified>
</cp:coreProperties>
</file>