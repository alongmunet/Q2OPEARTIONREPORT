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4 Summary" sheetId="1" state="visible" r:id="rId1"/>
    <sheet name="Sep30 Bridge" sheetId="2" state="visible" r:id="rId2"/>
    <sheet name="Remaining Payments" sheetId="3" state="visible" r:id="rId3"/>
    <sheet name="RHB Sep Transactions" sheetId="4" state="visible" r:id="rId4"/>
    <sheet name="Outlet Plan" sheetId="5" state="visible" r:id="rId5"/>
    <sheet name="Q4 Assumptions" sheetId="6" state="visible" r:id="rId6"/>
    <sheet name="Q4 Outlet Schedule" sheetId="7" state="visible" r:id="rId7"/>
    <sheet name="Q4 Weekly Cash Flow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-mmm-yy"/>
    <numFmt numFmtId="165" formatCode="#,##0.00;[Red](#,##0.00);-"/>
    <numFmt numFmtId="166" formatCode="yyyy-mm-dd h:mm:ss"/>
    <numFmt numFmtId="167" formatCode="#,##0;(#,##0);&quot;-&quot;"/>
    <numFmt numFmtId="168" formatCode="0.0%"/>
  </numFmts>
  <fonts count="15">
    <font>
      <name val="Carlito"/>
      <sz val="11"/>
    </font>
    <font>
      <name val="Carlito"/>
      <b val="1"/>
      <color rgb="FFFFFFFF"/>
      <sz val="14"/>
    </font>
    <font>
      <name val="Carlito"/>
      <i val="1"/>
      <sz val="11"/>
    </font>
    <font>
      <name val="Carlito"/>
      <b val="1"/>
      <color rgb="FFFFFFFF"/>
      <sz val="11"/>
    </font>
    <font>
      <name val="Carlito"/>
      <b val="1"/>
      <sz val="11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i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4"/>
    </font>
    <font>
      <name val="Arial"/>
      <b val="1"/>
      <color rgb="00FFFFFF"/>
    </font>
    <font>
      <name val="Arial"/>
      <b val="1"/>
      <color rgb="00008000"/>
      <sz val="10"/>
    </font>
    <font>
      <name val="Arial"/>
      <sz val="11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1F3864"/>
      </patternFill>
    </fill>
  </fills>
  <borders count="3">
    <border/>
    <border/>
    <border>
      <top style="thin">
        <color rgb="00999999"/>
      </top>
    </border>
  </borders>
  <cellStyleXfs count="1">
    <xf numFmtId="0" fontId="0" fillId="0" borderId="1"/>
  </cellStyleXfs>
  <cellXfs count="9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2" borderId="0" pivotButton="0" quotePrefix="0" xfId="0"/>
    <xf numFmtId="0" fontId="3" fillId="2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5" fontId="0" fillId="0" borderId="1" pivotButton="0" quotePrefix="0" xfId="0"/>
    <xf numFmtId="165" fontId="4" fillId="6" borderId="1" pivotButton="0" quotePrefix="0" xfId="0"/>
    <xf numFmtId="165" fontId="0" fillId="5" borderId="1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14" fillId="0" borderId="0" pivotButton="0" quotePrefix="0" xfId="0"/>
    <xf numFmtId="0" fontId="7" fillId="0" borderId="0" pivotButton="0" quotePrefix="0" xfId="0"/>
    <xf numFmtId="0" fontId="12" fillId="11" borderId="0" pivotButton="0" quotePrefix="0" xfId="0"/>
    <xf numFmtId="0" fontId="5" fillId="0" borderId="0" pivotButton="0" quotePrefix="0" xfId="0"/>
    <xf numFmtId="167" fontId="13" fillId="0" borderId="0" pivotButton="0" quotePrefix="0" xfId="0"/>
    <xf numFmtId="167" fontId="5" fillId="0" borderId="0" pivotButton="0" quotePrefix="0" xfId="0"/>
    <xf numFmtId="0" fontId="8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67" fontId="8" fillId="0" borderId="0" pivotButton="0" quotePrefix="0" xfId="0"/>
    <xf numFmtId="167" fontId="5" fillId="0" borderId="2" pivotButton="0" quotePrefix="0" xfId="0"/>
    <xf numFmtId="0" fontId="5" fillId="8" borderId="0" pivotButton="0" quotePrefix="0" xfId="0"/>
    <xf numFmtId="167" fontId="5" fillId="8" borderId="0" pivotButton="0" quotePrefix="0" xfId="0"/>
    <xf numFmtId="167" fontId="7" fillId="0" borderId="0" pivotButton="0" quotePrefix="0" xfId="0"/>
    <xf numFmtId="0" fontId="5" fillId="7" borderId="0" pivotButton="0" quotePrefix="0" xfId="0"/>
    <xf numFmtId="0" fontId="14" fillId="7" borderId="0" pivotButton="0" quotePrefix="0" xfId="0"/>
    <xf numFmtId="164" fontId="8" fillId="0" borderId="0" pivotButton="0" quotePrefix="0" xfId="0"/>
    <xf numFmtId="1" fontId="10" fillId="0" borderId="0" pivotButton="0" quotePrefix="0" xfId="0"/>
    <xf numFmtId="0" fontId="7" fillId="0" borderId="1" applyAlignment="1" pivotButton="0" quotePrefix="0" xfId="0">
      <alignment vertical="top" wrapText="1"/>
    </xf>
    <xf numFmtId="0" fontId="14" fillId="0" borderId="1" pivotButton="0" quotePrefix="0" xfId="0"/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9" fillId="0" borderId="0" pivotButton="0" quotePrefix="0" xfId="0"/>
    <xf numFmtId="1" fontId="9" fillId="0" borderId="0" pivotButton="0" quotePrefix="0" xfId="0"/>
    <xf numFmtId="0" fontId="9" fillId="0" borderId="0" pivotButton="0" quotePrefix="0" xfId="0"/>
    <xf numFmtId="168" fontId="9" fillId="0" borderId="0" pivotButton="0" quotePrefix="0" xfId="0"/>
    <xf numFmtId="167" fontId="9" fillId="8" borderId="0" pivotButton="0" quotePrefix="0" xfId="0"/>
    <xf numFmtId="167" fontId="10" fillId="8" borderId="0" pivotButton="0" quotePrefix="0" xfId="0"/>
    <xf numFmtId="164" fontId="10" fillId="0" borderId="0" pivotButton="0" quotePrefix="0" xfId="0"/>
    <xf numFmtId="0" fontId="10" fillId="0" borderId="0" pivotButton="0" quotePrefix="0" xfId="0"/>
    <xf numFmtId="167" fontId="5" fillId="9" borderId="0" pivotButton="0" quotePrefix="0" xfId="0"/>
    <xf numFmtId="1" fontId="8" fillId="0" borderId="0" pivotButton="0" quotePrefix="0" xfId="0"/>
    <xf numFmtId="1" fontId="5" fillId="0" borderId="0" pivotButton="0" quotePrefix="0" xfId="0"/>
    <xf numFmtId="0" fontId="5" fillId="10" borderId="0" pivotButton="0" quotePrefix="0" xfId="0"/>
    <xf numFmtId="0" fontId="5" fillId="10" borderId="0" applyAlignment="1" pivotButton="0" quotePrefix="0" xfId="0">
      <alignment horizontal="center"/>
    </xf>
    <xf numFmtId="164" fontId="10" fillId="10" borderId="0" applyAlignment="1" pivotButton="0" quotePrefix="0" xfId="0">
      <alignment horizontal="center"/>
    </xf>
    <xf numFmtId="164" fontId="8" fillId="10" borderId="0" applyAlignment="1" pivotButton="0" quotePrefix="0" xfId="0">
      <alignment horizontal="center"/>
    </xf>
    <xf numFmtId="0" fontId="14" fillId="10" borderId="0" applyAlignment="1" pivotButton="0" quotePrefix="0" xfId="0">
      <alignment horizontal="center"/>
    </xf>
    <xf numFmtId="1" fontId="8" fillId="10" borderId="0" applyAlignment="1" pivotButton="0" quotePrefix="0" xfId="0">
      <alignment horizontal="center"/>
    </xf>
    <xf numFmtId="167" fontId="5" fillId="9" borderId="2" pivotButton="0" quotePrefix="0" xfId="0"/>
    <xf numFmtId="0" fontId="5" fillId="9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closing balance (RM)</a:t>
            </a:r>
          </a:p>
        </rich>
      </tx>
    </title>
    <plotArea>
      <lineChart>
        <grouping val="standard"/>
        <ser>
          <idx val="0"/>
          <order val="0"/>
          <tx>
            <v>Maybank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Flow'!$C$6:$P$6</f>
            </numRef>
          </cat>
          <val>
            <numRef>
              <f>'Q4 Weekly Cash Flow'!$C$28:$P$28</f>
            </numRef>
          </val>
        </ser>
        <ser>
          <idx val="1"/>
          <order val="1"/>
          <tx>
            <v>Combined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Flow'!$C$6:$P$6</f>
            </numRef>
          </cat>
          <val>
            <numRef>
              <f>'Q4 Weekly Cash Flow'!$C$49:$P$49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7" customWidth="1" min="2" max="2"/>
    <col width="17" customWidth="1" min="3" max="3"/>
    <col width="17" customWidth="1" min="4" max="4"/>
  </cols>
  <sheetData>
    <row r="1">
      <c r="A1" s="50" t="inlineStr">
        <is>
          <t>TGFB — Forecast Cash Position at 31 December 2026</t>
        </is>
      </c>
      <c r="B1" s="51" t="n"/>
      <c r="C1" s="51" t="n"/>
      <c r="D1" s="51" t="n"/>
    </row>
    <row r="2">
      <c r="A2" s="52" t="inlineStr">
        <is>
          <t>Weekly forecast from 30 Sep closing balances. See 'Q4 Weekly Cash Flow' for weekly detail and 'Q4 Assumptions' for every input.</t>
        </is>
      </c>
      <c r="B2" s="51" t="n"/>
      <c r="C2" s="51" t="n"/>
      <c r="D2" s="51" t="n"/>
    </row>
    <row r="3">
      <c r="A3" s="51" t="n"/>
      <c r="B3" s="51" t="n"/>
      <c r="C3" s="51" t="n"/>
      <c r="D3" s="51" t="n"/>
    </row>
    <row r="4">
      <c r="A4" s="53" t="inlineStr">
        <is>
          <t>RM</t>
        </is>
      </c>
      <c r="B4" s="53" t="inlineStr">
        <is>
          <t>Maybank</t>
        </is>
      </c>
      <c r="C4" s="53" t="inlineStr">
        <is>
          <t>RHB</t>
        </is>
      </c>
      <c r="D4" s="53" t="inlineStr">
        <is>
          <t>Combined</t>
        </is>
      </c>
    </row>
    <row r="5">
      <c r="A5" s="54" t="inlineStr">
        <is>
          <t>Opening balance 1 Oct 2026</t>
        </is>
      </c>
      <c r="B5" s="55">
        <f>'Q4 Weekly Cash Flow'!Q10</f>
        <v/>
      </c>
      <c r="C5" s="55">
        <f>'Q4 Weekly Cash Flow'!Q31</f>
        <v/>
      </c>
      <c r="D5" s="56">
        <f>B5+C5</f>
        <v/>
      </c>
    </row>
    <row r="6">
      <c r="A6" s="57" t="inlineStr">
        <is>
          <t>Sales — existing 34 outlets</t>
        </is>
      </c>
      <c r="B6" s="58">
        <f>'Q4 Weekly Cash Flow'!Q12</f>
        <v/>
      </c>
      <c r="C6" s="59" t="n">
        <v>0</v>
      </c>
      <c r="D6" s="60">
        <f>B6+C6</f>
        <v/>
      </c>
    </row>
    <row r="7">
      <c r="A7" s="57" t="inlineStr">
        <is>
          <t>Sales — new outlets</t>
        </is>
      </c>
      <c r="B7" s="58">
        <f>'Q4 Weekly Cash Flow'!Q13</f>
        <v/>
      </c>
      <c r="C7" s="59" t="n">
        <v>0</v>
      </c>
      <c r="D7" s="60">
        <f>B7+C7</f>
        <v/>
      </c>
    </row>
    <row r="8">
      <c r="A8" s="57" t="inlineStr">
        <is>
          <t>RHB cash deposits</t>
        </is>
      </c>
      <c r="B8" s="59" t="n">
        <v>0</v>
      </c>
      <c r="C8" s="58">
        <f>'Q4 Weekly Cash Flow'!Q33</f>
        <v/>
      </c>
      <c r="D8" s="60">
        <f>B8+C8</f>
        <v/>
      </c>
    </row>
    <row r="9">
      <c r="A9" s="57" t="inlineStr">
        <is>
          <t>Investor funds (450k + 200k)</t>
        </is>
      </c>
      <c r="B9" s="58">
        <f>'Q4 Weekly Cash Flow'!Q14</f>
        <v/>
      </c>
      <c r="C9" s="59" t="n">
        <v>0</v>
      </c>
      <c r="D9" s="60">
        <f>B9+C9</f>
        <v/>
      </c>
    </row>
    <row r="10">
      <c r="A10" s="57" t="inlineStr">
        <is>
          <t>Licensing package — PJ balance</t>
        </is>
      </c>
      <c r="B10" s="59" t="n">
        <v>0</v>
      </c>
      <c r="C10" s="58">
        <f>'Q4 Weekly Cash Flow'!Q34</f>
        <v/>
      </c>
      <c r="D10" s="60">
        <f>B10+C10</f>
        <v/>
      </c>
    </row>
    <row r="11">
      <c r="A11" s="57" t="inlineStr">
        <is>
          <t>Operating costs — existing outlets</t>
        </is>
      </c>
      <c r="B11" s="58">
        <f>-'Q4 Weekly Cash Flow'!Q17</f>
        <v/>
      </c>
      <c r="C11" s="59" t="n">
        <v>0</v>
      </c>
      <c r="D11" s="60">
        <f>B11+C11</f>
        <v/>
      </c>
    </row>
    <row r="12">
      <c r="A12" s="57" t="inlineStr">
        <is>
          <t>Running cost new outlets (15%)</t>
        </is>
      </c>
      <c r="B12" s="58">
        <f>-'Q4 Weekly Cash Flow'!Q18</f>
        <v/>
      </c>
      <c r="C12" s="59" t="n">
        <v>0</v>
      </c>
      <c r="D12" s="60">
        <f>B12+C12</f>
        <v/>
      </c>
    </row>
    <row r="13">
      <c r="A13" s="57" t="inlineStr">
        <is>
          <t>Capex — new outlets</t>
        </is>
      </c>
      <c r="B13" s="58">
        <f>-'Q4 Weekly Cash Flow'!Q19</f>
        <v/>
      </c>
      <c r="C13" s="59" t="n">
        <v>0</v>
      </c>
      <c r="D13" s="60">
        <f>B13+C13</f>
        <v/>
      </c>
    </row>
    <row r="14">
      <c r="A14" s="57" t="inlineStr">
        <is>
          <t>Deposits — 5 new outlets</t>
        </is>
      </c>
      <c r="B14" s="58">
        <f>-'Q4 Weekly Cash Flow'!Q20</f>
        <v/>
      </c>
      <c r="C14" s="59" t="n">
        <v>0</v>
      </c>
      <c r="D14" s="60">
        <f>B14+C14</f>
        <v/>
      </c>
    </row>
    <row r="15">
      <c r="A15" s="57" t="inlineStr">
        <is>
          <t>Foreign worker expense (920k Oct + 200k Dec)</t>
        </is>
      </c>
      <c r="B15" s="58">
        <f>-'Q4 Weekly Cash Flow'!Q21</f>
        <v/>
      </c>
      <c r="C15" s="59" t="n">
        <v>0</v>
      </c>
      <c r="D15" s="60">
        <f>B15+C15</f>
        <v/>
      </c>
    </row>
    <row r="16">
      <c r="A16" s="57" t="inlineStr">
        <is>
          <t>Investment — Bebeks</t>
        </is>
      </c>
      <c r="B16" s="58">
        <f>-'Q4 Weekly Cash Flow'!Q22</f>
        <v/>
      </c>
      <c r="C16" s="59" t="n">
        <v>0</v>
      </c>
      <c r="D16" s="60">
        <f>B16+C16</f>
        <v/>
      </c>
    </row>
    <row r="17">
      <c r="A17" s="57" t="inlineStr">
        <is>
          <t>Investment — Kopitiam</t>
        </is>
      </c>
      <c r="B17" s="58">
        <f>-'Q4 Weekly Cash Flow'!Q23</f>
        <v/>
      </c>
      <c r="C17" s="59" t="n">
        <v>0</v>
      </c>
      <c r="D17" s="60">
        <f>B17+C17</f>
        <v/>
      </c>
    </row>
    <row r="18">
      <c r="A18" s="57" t="inlineStr">
        <is>
          <t>SST Sep–Oct (due 30 Nov)</t>
        </is>
      </c>
      <c r="B18" s="58">
        <f>-'Q4 Weekly Cash Flow'!Q24</f>
        <v/>
      </c>
      <c r="C18" s="59" t="n">
        <v>0</v>
      </c>
      <c r="D18" s="60">
        <f>B18+C18</f>
        <v/>
      </c>
    </row>
    <row r="19">
      <c r="A19" s="57" t="inlineStr">
        <is>
          <t>Payroll (Oct–Dec, RHB)</t>
        </is>
      </c>
      <c r="B19" s="59" t="n">
        <v>0</v>
      </c>
      <c r="C19" s="58">
        <f>-'Q4 Weekly Cash Flow'!Q36</f>
        <v/>
      </c>
      <c r="D19" s="60">
        <f>B19+C19</f>
        <v/>
      </c>
    </row>
    <row r="20">
      <c r="A20" s="57" t="inlineStr">
        <is>
          <t>Staff bonus</t>
        </is>
      </c>
      <c r="B20" s="59" t="n">
        <v>0</v>
      </c>
      <c r="C20" s="58">
        <f>-'Q4 Weekly Cash Flow'!Q37</f>
        <v/>
      </c>
      <c r="D20" s="60">
        <f>B20+C20</f>
        <v/>
      </c>
    </row>
    <row r="21">
      <c r="A21" s="57" t="inlineStr">
        <is>
          <t>Transfers Maybank → RHB</t>
        </is>
      </c>
      <c r="B21" s="58">
        <f>-'Q4 Weekly Cash Flow'!Q25</f>
        <v/>
      </c>
      <c r="C21" s="58">
        <f>'Q4 Weekly Cash Flow'!Q39</f>
        <v/>
      </c>
      <c r="D21" s="60">
        <f>B21+C21</f>
        <v/>
      </c>
    </row>
    <row r="22">
      <c r="A22" s="54" t="inlineStr">
        <is>
          <t>Net cash flow 1 Oct – 31 Dec</t>
        </is>
      </c>
      <c r="B22" s="61">
        <f>SUM(B6:B21)</f>
        <v/>
      </c>
      <c r="C22" s="61">
        <f>SUM(C6:C21)</f>
        <v/>
      </c>
      <c r="D22" s="61">
        <f>SUM(D6:D21)</f>
        <v/>
      </c>
    </row>
    <row r="23">
      <c r="A23" s="62" t="inlineStr">
        <is>
          <t>Forecast closing balance 31 Dec 2026</t>
        </is>
      </c>
      <c r="B23" s="63">
        <f>B5+B22</f>
        <v/>
      </c>
      <c r="C23" s="63">
        <f>C5+C22</f>
        <v/>
      </c>
      <c r="D23" s="63">
        <f>D5+D22</f>
        <v/>
      </c>
    </row>
    <row r="24">
      <c r="A24" s="52" t="inlineStr">
        <is>
          <t>Check vs weekly sheet (should be 0)</t>
        </is>
      </c>
      <c r="B24" s="64">
        <f>ROUND(B23-'Q4 Weekly Cash Flow'!Q28,2)</f>
        <v/>
      </c>
      <c r="C24" s="64">
        <f>ROUND(C23-'Q4 Weekly Cash Flow'!Q44,2)</f>
        <v/>
      </c>
      <c r="D24" s="64">
        <f>ROUND(D23-'Q4 Weekly Cash Flow'!Q49,2)</f>
        <v/>
      </c>
    </row>
    <row r="25">
      <c r="A25" s="51" t="n"/>
      <c r="B25" s="51" t="n"/>
      <c r="C25" s="51" t="n"/>
      <c r="D25" s="51" t="n"/>
    </row>
    <row r="26">
      <c r="A26" s="65" t="inlineStr">
        <is>
          <t>Key indicators</t>
        </is>
      </c>
      <c r="B26" s="66" t="n"/>
      <c r="C26" s="66" t="n"/>
      <c r="D26" s="66" t="n"/>
    </row>
    <row r="27">
      <c r="A27" s="57" t="inlineStr">
        <is>
          <t>Lowest weekly combined closing balance</t>
        </is>
      </c>
      <c r="B27" s="51" t="n"/>
      <c r="C27" s="51" t="n"/>
      <c r="D27" s="60">
        <f>MIN('Q4 Weekly Cash Flow'!$C$49:$P$49)</f>
        <v/>
      </c>
    </row>
    <row r="28">
      <c r="A28" s="57" t="inlineStr">
        <is>
          <t>Week ending of lowest combined balance</t>
        </is>
      </c>
      <c r="B28" s="51" t="n"/>
      <c r="C28" s="51" t="n"/>
      <c r="D28" s="67">
        <f>INDEX('Q4 Weekly Cash Flow'!$C$6:$P$6,MATCH(D27,'Q4 Weekly Cash Flow'!$C$49:$P$49,0))</f>
        <v/>
      </c>
    </row>
    <row r="29">
      <c r="A29" s="57" t="inlineStr">
        <is>
          <t>Lowest weekly Maybank closing balance</t>
        </is>
      </c>
      <c r="B29" s="60">
        <f>MIN('Q4 Weekly Cash Flow'!$C$28:$P$28)</f>
        <v/>
      </c>
      <c r="C29" s="51" t="n"/>
      <c r="D29" s="51" t="n"/>
    </row>
    <row r="30">
      <c r="A30" s="57" t="inlineStr">
        <is>
          <t>Outlets operating at 31 Dec (34 + new openings)</t>
        </is>
      </c>
      <c r="B30" s="51" t="n"/>
      <c r="C30" s="51" t="n"/>
      <c r="D30" s="68">
        <f>'Q4 Outlet Schedule'!C21</f>
        <v/>
      </c>
    </row>
    <row r="31">
      <c r="A31" s="57" t="inlineStr">
        <is>
          <t>New-outlet sales Oct–Dec</t>
        </is>
      </c>
      <c r="B31" s="51" t="n"/>
      <c r="C31" s="51" t="n"/>
      <c r="D31" s="58">
        <f>'Q4 Outlet Schedule'!W18</f>
        <v/>
      </c>
    </row>
    <row r="32">
      <c r="A32" s="51" t="n"/>
      <c r="B32" s="51" t="n"/>
      <c r="C32" s="51" t="n"/>
      <c r="D32" s="51" t="n"/>
    </row>
    <row r="33">
      <c r="A33" s="65" t="inlineStr">
        <is>
          <t>Assumptions to confirm (yellow in 'Q4 Assumptions')</t>
        </is>
      </c>
      <c r="B33" s="66" t="n"/>
      <c r="C33" s="66" t="n"/>
      <c r="D33" s="66" t="n"/>
    </row>
    <row r="34" ht="27" customHeight="1">
      <c r="A34" s="69" t="inlineStr">
        <is>
          <t>1. Existing 34 outlets continue at September's Maybank run-rate (cash in less operating cash out, after removing SST, capex and the RHB payroll transfer).</t>
        </is>
      </c>
      <c r="B34" s="70" t="n"/>
      <c r="C34" s="70" t="n"/>
      <c r="D34" s="70" t="n"/>
    </row>
    <row r="35" ht="27" customHeight="1">
      <c r="A35" s="69" t="inlineStr">
        <is>
          <t>2. Pasir Gudang capex (RM650k) assumed fully paid in September — used to normalise the Sep run-rate.</t>
        </is>
      </c>
      <c r="B35" s="70" t="n"/>
      <c r="C35" s="70" t="n"/>
      <c r="D35" s="70" t="n"/>
    </row>
    <row r="36" ht="27" customHeight="1">
      <c r="A36" s="69" t="inlineStr">
        <is>
          <t>3. Deposits for 5 new outlets: RM30k each (amount not provided).</t>
        </is>
      </c>
      <c r="B36" s="70" t="n"/>
      <c r="C36" s="70" t="n"/>
      <c r="D36" s="70" t="n"/>
    </row>
    <row r="37" ht="27" customHeight="1">
      <c r="A37" s="69" t="inlineStr">
        <is>
          <t>4. SST for Sep–Oct (≈ Jul–Aug amount) falls due 30 Nov — not in the list but follows the bi-monthly pattern.</t>
        </is>
      </c>
      <c r="B37" s="70" t="n"/>
      <c r="C37" s="70" t="n"/>
      <c r="D37" s="70" t="n"/>
    </row>
    <row r="38" ht="27" customHeight="1">
      <c r="A38" s="69" t="inlineStr">
        <is>
          <t>5. New-outlet running cost = 15% of sales only (wages + rental); no food cost/COGS added for new outlets, per instruction.</t>
        </is>
      </c>
      <c r="B38" s="70" t="n"/>
      <c r="C38" s="70" t="n"/>
      <c r="D38" s="70" t="n"/>
    </row>
    <row r="39" ht="27" customHeight="1">
      <c r="A39" s="69" t="inlineStr">
        <is>
          <t>6. Capex balance paid as a lump sum 45 days before grand opening; Cheras &amp; PJ balances (already past GO-45) paid 1 Oct. ICOMSRWK excluded (GO TBD).</t>
        </is>
      </c>
      <c r="B39" s="70" t="n"/>
      <c r="C39" s="70" t="n"/>
      <c r="D39" s="70" t="n"/>
    </row>
    <row r="40" ht="27" customHeight="1">
      <c r="A40" s="69" t="inlineStr">
        <is>
          <t>7. Fixed deposit excluded — matures 2027. Funds/investments without a day assumed mid-month (15 Oct).</t>
        </is>
      </c>
      <c r="B40" s="70" t="n"/>
      <c r="C40" s="70" t="n"/>
      <c r="D40" s="70" t="n"/>
    </row>
  </sheetData>
  <mergeCells count="7">
    <mergeCell ref="A37:D37"/>
    <mergeCell ref="A40:D40"/>
    <mergeCell ref="A34:D34"/>
    <mergeCell ref="A35:D35"/>
    <mergeCell ref="A38:D38"/>
    <mergeCell ref="A39:D39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4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55" customWidth="1" min="8" max="8"/>
  </cols>
  <sheetData>
    <row r="1" ht="26" customHeight="1">
      <c r="A1" s="7" t="inlineStr">
        <is>
          <t>TGFB — Forecast Cash Position as at 30 September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3" t="inlineStr">
        <is>
          <t>Bridge from actual 28 Sep balances to 30 Sep. Maybank inflow uses same-weekday September median; RHB uses average daily cash deposits.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17" t="inlineStr">
        <is>
          <t>Date</t>
        </is>
      </c>
      <c r="B4" s="17" t="inlineStr">
        <is>
          <t>Bank</t>
        </is>
      </c>
      <c r="C4" s="17" t="inlineStr">
        <is>
          <t>Opening Balance</t>
        </is>
      </c>
      <c r="D4" s="17" t="inlineStr">
        <is>
          <t>Forecast Cash In</t>
        </is>
      </c>
      <c r="E4" s="17" t="inlineStr">
        <is>
          <t>Forecast Cash Out</t>
        </is>
      </c>
      <c r="F4" s="17" t="inlineStr">
        <is>
          <t>Net Cash Flow</t>
        </is>
      </c>
      <c r="G4" s="17" t="inlineStr">
        <is>
          <t>Closing Balance</t>
        </is>
      </c>
      <c r="H4" s="17" t="inlineStr">
        <is>
          <t>Basis</t>
        </is>
      </c>
    </row>
    <row r="5">
      <c r="A5" s="71" t="n">
        <v>46293</v>
      </c>
      <c r="B5" s="30" t="inlineStr">
        <is>
          <t>Maybank</t>
        </is>
      </c>
      <c r="C5" s="72" t="n">
        <v>13269622.6</v>
      </c>
      <c r="D5" s="72" t="n">
        <v>0</v>
      </c>
      <c r="E5" s="72" t="n">
        <v>0</v>
      </c>
      <c r="F5" s="72" t="n">
        <v>0</v>
      </c>
      <c r="G5" s="72" t="n">
        <v>13269622.6</v>
      </c>
      <c r="H5" s="30" t="inlineStr">
        <is>
          <t>Actual closing balance 28 Sep</t>
        </is>
      </c>
    </row>
    <row r="6">
      <c r="A6" s="71" t="n">
        <v>46294</v>
      </c>
      <c r="B6" s="30" t="inlineStr">
        <is>
          <t>Maybank</t>
        </is>
      </c>
      <c r="C6" s="72">
        <f>G5</f>
        <v/>
      </c>
      <c r="D6" s="72" t="n">
        <v>317348.35</v>
      </c>
      <c r="E6" s="72" t="n">
        <v>393281.82</v>
      </c>
      <c r="F6" s="72">
        <f>D6-E6</f>
        <v/>
      </c>
      <c r="G6" s="72">
        <f>C6+F6</f>
        <v/>
      </c>
      <c r="H6" s="30" t="inlineStr">
        <is>
          <t>Tue median inflow; remaining payment schedule incl. 28 Sep Maker carry-forward</t>
        </is>
      </c>
    </row>
    <row r="7">
      <c r="A7" s="71" t="n">
        <v>46295</v>
      </c>
      <c r="B7" s="30" t="inlineStr">
        <is>
          <t>Maybank</t>
        </is>
      </c>
      <c r="C7" s="72">
        <f>G6</f>
        <v/>
      </c>
      <c r="D7" s="72" t="n">
        <v>305975.2</v>
      </c>
      <c r="E7" s="72" t="n">
        <v>1165510.26</v>
      </c>
      <c r="F7" s="72">
        <f>D7-E7</f>
        <v/>
      </c>
      <c r="G7" s="72">
        <f>C7+F7</f>
        <v/>
      </c>
      <c r="H7" s="30" t="inlineStr">
        <is>
          <t>Wed median inflow + RM8k Pasir Gudang opening-day sales; TGFB payment schedule</t>
        </is>
      </c>
    </row>
    <row r="8">
      <c r="A8" s="71" t="n">
        <v>46295</v>
      </c>
      <c r="B8" s="30" t="inlineStr">
        <is>
          <t>Maybank Total Sep</t>
        </is>
      </c>
      <c r="C8" s="72" t="n">
        <v>14257277.95</v>
      </c>
      <c r="D8" s="72">
        <f>9377264.19+D6+D7</f>
        <v/>
      </c>
      <c r="E8" s="72">
        <f>10364919.54+E6+E7</f>
        <v/>
      </c>
      <c r="F8" s="72">
        <f>D8-E8</f>
        <v/>
      </c>
      <c r="G8" s="72">
        <f>C8+F8</f>
        <v/>
      </c>
      <c r="H8" s="30" t="inlineStr">
        <is>
          <t>Monthly Sep forecast after 29-30 Sep bridge</t>
        </is>
      </c>
    </row>
    <row r="9">
      <c r="A9" s="71" t="n"/>
      <c r="B9" s="30" t="n"/>
      <c r="C9" s="72" t="n"/>
      <c r="D9" s="72" t="n"/>
      <c r="E9" s="72" t="n"/>
      <c r="F9" s="72" t="n"/>
      <c r="G9" s="72" t="n"/>
      <c r="H9" s="30" t="n"/>
    </row>
    <row r="10">
      <c r="A10" s="71" t="n">
        <v>46293</v>
      </c>
      <c r="B10" s="30" t="inlineStr">
        <is>
          <t>RHB</t>
        </is>
      </c>
      <c r="C10" s="72" t="n">
        <v>14440.97</v>
      </c>
      <c r="D10" s="72" t="n">
        <v>0</v>
      </c>
      <c r="E10" s="72" t="n">
        <v>0</v>
      </c>
      <c r="F10" s="72" t="n">
        <v>0</v>
      </c>
      <c r="G10" s="72" t="n">
        <v>14440.97</v>
      </c>
      <c r="H10" s="30" t="inlineStr">
        <is>
          <t>Actual closing balance from RHB transaction CSV</t>
        </is>
      </c>
    </row>
    <row r="11">
      <c r="A11" s="71" t="n">
        <v>46294</v>
      </c>
      <c r="B11" s="30" t="inlineStr">
        <is>
          <t>RHB</t>
        </is>
      </c>
      <c r="C11" s="72">
        <f>G10</f>
        <v/>
      </c>
      <c r="D11" s="72" t="n">
        <v>1775.714285714286</v>
      </c>
      <c r="E11" s="72" t="n">
        <v>0</v>
      </c>
      <c r="F11" s="72">
        <f>D11-E11</f>
        <v/>
      </c>
      <c r="G11" s="72">
        <f>C11+F11</f>
        <v/>
      </c>
      <c r="H11" s="30" t="inlineStr">
        <is>
          <t>Forecast using average daily cash deposits; no known scheduled RHB outflow</t>
        </is>
      </c>
    </row>
    <row r="12">
      <c r="A12" s="71" t="n">
        <v>46295</v>
      </c>
      <c r="B12" s="30" t="inlineStr">
        <is>
          <t>RHB</t>
        </is>
      </c>
      <c r="C12" s="72">
        <f>G11</f>
        <v/>
      </c>
      <c r="D12" s="72" t="n">
        <v>1775.714285714286</v>
      </c>
      <c r="E12" s="72" t="n">
        <v>0</v>
      </c>
      <c r="F12" s="72">
        <f>D12-E12</f>
        <v/>
      </c>
      <c r="G12" s="72">
        <f>C12+F12</f>
        <v/>
      </c>
      <c r="H12" s="30" t="inlineStr">
        <is>
          <t>Forecast using average daily cash deposits; no known scheduled RHB outflow</t>
        </is>
      </c>
    </row>
    <row r="13">
      <c r="A13" s="71" t="n">
        <v>46295</v>
      </c>
      <c r="B13" s="30" t="inlineStr">
        <is>
          <t>RHB Total Sep</t>
        </is>
      </c>
      <c r="C13" s="72" t="n">
        <v>35880.04</v>
      </c>
      <c r="D13" s="72" t="n">
        <v>425699.5785714285</v>
      </c>
      <c r="E13" s="72" t="n">
        <v>443587.22</v>
      </c>
      <c r="F13" s="72">
        <f>D13-E13</f>
        <v/>
      </c>
      <c r="G13" s="72">
        <f>C13+F13</f>
        <v/>
      </c>
      <c r="H13" s="30" t="inlineStr">
        <is>
          <t>Monthly Sep forecast</t>
        </is>
      </c>
    </row>
    <row r="15">
      <c r="A15" s="22" t="inlineStr">
        <is>
          <t>CONSOLIDATED TGFB BANK POSITION</t>
        </is>
      </c>
      <c r="B15" s="22" t="str"/>
      <c r="C15" s="22" t="str"/>
      <c r="D15" s="22" t="str"/>
      <c r="E15" s="22" t="str"/>
      <c r="F15" s="22" t="str"/>
      <c r="G15" s="22" t="str"/>
      <c r="H15" s="22" t="str"/>
    </row>
    <row r="16">
      <c r="A16" t="inlineStr">
        <is>
          <t>Opening balance 1 Sep 2026</t>
        </is>
      </c>
      <c r="B16" s="73" t="n">
        <v>14293157.99</v>
      </c>
    </row>
    <row r="17">
      <c r="A17" t="inlineStr">
        <is>
          <t>Forecast closing Maybank 30 Sep</t>
        </is>
      </c>
      <c r="B17" s="73">
        <f>G7</f>
        <v/>
      </c>
    </row>
    <row r="18">
      <c r="A18" t="inlineStr">
        <is>
          <t>Forecast closing RHB 30 Sep</t>
        </is>
      </c>
      <c r="B18" s="73">
        <f>G12</f>
        <v/>
      </c>
    </row>
    <row r="19">
      <c r="A19" s="27" t="inlineStr">
        <is>
          <t>Forecast combined cash at 30 Sep</t>
        </is>
      </c>
      <c r="B19" s="74">
        <f>B17+B18</f>
        <v/>
      </c>
    </row>
    <row r="20">
      <c r="B20" s="73" t="n"/>
    </row>
    <row r="21">
      <c r="A21" s="24" t="inlineStr">
        <is>
          <t>Forecast combined Sep Net Cash Flow</t>
        </is>
      </c>
      <c r="B21" s="75">
        <f>B19-B16</f>
        <v/>
      </c>
    </row>
    <row r="22">
      <c r="A22" s="24" t="inlineStr">
        <is>
          <t>Maybank forecast 29-30 cash inflow</t>
        </is>
      </c>
      <c r="B22" s="75">
        <f>D6+D7</f>
        <v/>
      </c>
    </row>
    <row r="23">
      <c r="A23" s="24" t="inlineStr">
        <is>
          <t>Maybank forecast 29-30 cash outflow</t>
        </is>
      </c>
      <c r="B23" s="75">
        <f>E6+E7</f>
        <v/>
      </c>
    </row>
    <row r="24">
      <c r="A24" s="24" t="inlineStr">
        <is>
          <t>RHB forecast 29-30 cash inflow</t>
        </is>
      </c>
      <c r="B24" s="75">
        <f>D11+D12</f>
        <v/>
      </c>
    </row>
    <row r="25">
      <c r="A25" s="24" t="inlineStr">
        <is>
          <t>Incremental Pasir Gudang sales on 30 Sep</t>
        </is>
      </c>
      <c r="B25" s="75" t="n">
        <v>8000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55" customWidth="1" min="4" max="4"/>
    <col width="16" customWidth="1" min="5" max="5"/>
    <col width="15" customWidth="1" min="6" max="6"/>
    <col width="18" customWidth="1" min="7" max="7"/>
    <col width="26" customWidth="1" min="8" max="8"/>
  </cols>
  <sheetData>
    <row r="1">
      <c r="A1" s="43" t="inlineStr">
        <is>
          <t>Original Date</t>
        </is>
      </c>
      <c r="B1" s="43" t="inlineStr">
        <is>
          <t>Forecast Pay Date</t>
        </is>
      </c>
      <c r="C1" s="43" t="inlineStr">
        <is>
          <t>Supplier</t>
        </is>
      </c>
      <c r="D1" s="43" t="inlineStr">
        <is>
          <t>Description</t>
        </is>
      </c>
      <c r="E1" s="43" t="inlineStr">
        <is>
          <t>Amount (RM)</t>
        </is>
      </c>
      <c r="F1" s="43" t="inlineStr">
        <is>
          <t>Payment Type</t>
        </is>
      </c>
      <c r="G1" s="43" t="inlineStr">
        <is>
          <t>Outlet</t>
        </is>
      </c>
      <c r="H1" s="43" t="inlineStr">
        <is>
          <t>Status / Note</t>
        </is>
      </c>
    </row>
    <row r="2">
      <c r="A2" s="71" t="n">
        <v>46293</v>
      </c>
      <c r="B2" s="71" t="n">
        <v>46294</v>
      </c>
      <c r="C2" s="30" t="inlineStr">
        <is>
          <t>KONG FU PLUMBERS</t>
        </is>
      </c>
      <c r="D2" s="30" t="inlineStr">
        <is>
          <t>Repair water tank - Seremban</t>
        </is>
      </c>
      <c r="E2" s="72" t="n">
        <v>400</v>
      </c>
      <c r="F2" s="30" t="inlineStr">
        <is>
          <t>Interbank</t>
        </is>
      </c>
      <c r="G2" s="30" t="inlineStr">
        <is>
          <t>SEREMBAN</t>
        </is>
      </c>
      <c r="H2" s="30" t="inlineStr">
        <is>
          <t>Maker Carry to 29 Sep forecast</t>
        </is>
      </c>
    </row>
    <row r="3">
      <c r="A3" s="71" t="n">
        <v>46293</v>
      </c>
      <c r="B3" s="71" t="n">
        <v>46294</v>
      </c>
      <c r="C3" s="30" t="inlineStr">
        <is>
          <t>TENAGA NASIONAL BERHAD</t>
        </is>
      </c>
      <c r="D3" s="30" t="inlineStr">
        <is>
          <t>TNB Sep - Segamat 40 outlet</t>
        </is>
      </c>
      <c r="E3" s="72" t="n">
        <v>4607.95</v>
      </c>
      <c r="F3" s="30" t="inlineStr">
        <is>
          <t>JomPAY</t>
        </is>
      </c>
      <c r="G3" s="30" t="inlineStr">
        <is>
          <t>SEGAMAT</t>
        </is>
      </c>
      <c r="H3" s="30" t="inlineStr">
        <is>
          <t>Maker Carry to 29 Sep forecast</t>
        </is>
      </c>
    </row>
    <row r="4">
      <c r="A4" s="71" t="n">
        <v>46293</v>
      </c>
      <c r="B4" s="71" t="n">
        <v>46294</v>
      </c>
      <c r="C4" s="30" t="inlineStr">
        <is>
          <t>EL GREAT SOLUTION</t>
        </is>
      </c>
      <c r="D4" s="30" t="inlineStr">
        <is>
          <t>Upkeep of branch - KLTS</t>
        </is>
      </c>
      <c r="E4" s="72" t="n">
        <v>35</v>
      </c>
      <c r="F4" s="30" t="inlineStr">
        <is>
          <t>MBB</t>
        </is>
      </c>
      <c r="G4" s="30" t="inlineStr">
        <is>
          <t>KLTS</t>
        </is>
      </c>
      <c r="H4" s="30" t="inlineStr">
        <is>
          <t>Maker Carry to 29 Sep forecast</t>
        </is>
      </c>
    </row>
    <row r="5">
      <c r="A5" s="71" t="n">
        <v>46294</v>
      </c>
      <c r="B5" s="71" t="n">
        <v>46294</v>
      </c>
      <c r="C5" s="30" t="inlineStr">
        <is>
          <t>TGCK</t>
        </is>
      </c>
      <c r="D5" s="30" t="inlineStr">
        <is>
          <t>Inventory TGCK 07.09.2026 to 08.09.2026</t>
        </is>
      </c>
      <c r="E5" s="72" t="n">
        <v>214982.6</v>
      </c>
      <c r="F5" s="30" t="inlineStr">
        <is>
          <t>M2E</t>
        </is>
      </c>
      <c r="G5" s="30" t="inlineStr">
        <is>
          <t>TGCK</t>
        </is>
      </c>
      <c r="H5" s="30" t="inlineStr">
        <is>
          <t>Maker</t>
        </is>
      </c>
    </row>
    <row r="6">
      <c r="A6" s="71" t="n">
        <v>46294</v>
      </c>
      <c r="B6" s="71" t="n">
        <v>46294</v>
      </c>
      <c r="C6" s="30" t="inlineStr">
        <is>
          <t>AHRA INTERIOR</t>
        </is>
      </c>
      <c r="D6" s="30" t="inlineStr">
        <is>
          <t>Outlet renovation - Petaling Jaya (1st payment)</t>
        </is>
      </c>
      <c r="E6" s="72" t="n">
        <v>122330.7</v>
      </c>
      <c r="F6" s="30" t="inlineStr">
        <is>
          <t>M2E</t>
        </is>
      </c>
      <c r="G6" s="30" t="inlineStr">
        <is>
          <t>PETALING JAYA</t>
        </is>
      </c>
      <c r="H6" s="30" t="inlineStr">
        <is>
          <t>Maker</t>
        </is>
      </c>
    </row>
    <row r="7">
      <c r="A7" s="71" t="n">
        <v>46294</v>
      </c>
      <c r="B7" s="71" t="n">
        <v>46294</v>
      </c>
      <c r="C7" s="30" t="inlineStr">
        <is>
          <t>TK STEEL SUPPLIES</t>
        </is>
      </c>
      <c r="D7" s="30" t="inlineStr">
        <is>
          <t>Foodtruck - 6th payment</t>
        </is>
      </c>
      <c r="E7" s="72" t="n">
        <v>20219</v>
      </c>
      <c r="F7" s="30" t="inlineStr">
        <is>
          <t>M2E</t>
        </is>
      </c>
      <c r="G7" s="30" t="inlineStr">
        <is>
          <t>HQ</t>
        </is>
      </c>
      <c r="H7" s="30" t="inlineStr">
        <is>
          <t>Maker</t>
        </is>
      </c>
    </row>
    <row r="8">
      <c r="A8" s="71" t="n">
        <v>46294</v>
      </c>
      <c r="B8" s="71" t="n">
        <v>46294</v>
      </c>
      <c r="C8" s="30" t="inlineStr">
        <is>
          <t>TENAGA NASIONAL BERHAD</t>
        </is>
      </c>
      <c r="D8" s="30" t="inlineStr">
        <is>
          <t>TNB Sep - Sg Besi outlet</t>
        </is>
      </c>
      <c r="E8" s="72" t="n">
        <v>5685</v>
      </c>
      <c r="F8" s="30" t="inlineStr">
        <is>
          <t>JomPAY</t>
        </is>
      </c>
      <c r="G8" s="30" t="inlineStr">
        <is>
          <t>SG BESI</t>
        </is>
      </c>
      <c r="H8" s="30" t="inlineStr">
        <is>
          <t>Maker</t>
        </is>
      </c>
    </row>
    <row r="9">
      <c r="A9" s="71" t="n">
        <v>46294</v>
      </c>
      <c r="B9" s="71" t="n">
        <v>46294</v>
      </c>
      <c r="C9" s="30" t="inlineStr">
        <is>
          <t>TOP GLOBAL FOOD AND BEVERAGES</t>
        </is>
      </c>
      <c r="D9" s="30" t="inlineStr">
        <is>
          <t>Hire purchase RU9577 - Jul 2026</t>
        </is>
      </c>
      <c r="E9" s="72" t="n">
        <v>4433</v>
      </c>
      <c r="F9" s="30" t="inlineStr">
        <is>
          <t>Interbank</t>
        </is>
      </c>
      <c r="G9" s="30" t="inlineStr">
        <is>
          <t>HQ</t>
        </is>
      </c>
      <c r="H9" s="30" t="inlineStr">
        <is>
          <t>Maker</t>
        </is>
      </c>
    </row>
    <row r="10">
      <c r="A10" s="71" t="n">
        <v>46294</v>
      </c>
      <c r="B10" s="71" t="n">
        <v>46294</v>
      </c>
      <c r="C10" s="30" t="inlineStr">
        <is>
          <t>IRHAS PUTRA</t>
        </is>
      </c>
      <c r="D10" s="30" t="inlineStr">
        <is>
          <t>Rental Oct - S13 G15 training centre</t>
        </is>
      </c>
      <c r="E10" s="72" t="n">
        <v>3900</v>
      </c>
      <c r="F10" s="30" t="inlineStr">
        <is>
          <t>MBB</t>
        </is>
      </c>
      <c r="G10" s="30" t="inlineStr">
        <is>
          <t>HQ</t>
        </is>
      </c>
      <c r="H10" s="30" t="inlineStr">
        <is>
          <t>Maker</t>
        </is>
      </c>
    </row>
    <row r="11">
      <c r="A11" s="71" t="n">
        <v>46294</v>
      </c>
      <c r="B11" s="71" t="n">
        <v>46294</v>
      </c>
      <c r="C11" s="30" t="inlineStr">
        <is>
          <t>HUSNA</t>
        </is>
      </c>
      <c r="D11" s="30" t="inlineStr">
        <is>
          <t>Cash advance - F1 Event</t>
        </is>
      </c>
      <c r="E11" s="72" t="n">
        <v>3845.77</v>
      </c>
      <c r="F11" s="30" t="inlineStr">
        <is>
          <t>MBB</t>
        </is>
      </c>
      <c r="G11" s="30" t="inlineStr">
        <is>
          <t>HQ</t>
        </is>
      </c>
      <c r="H11" s="30" t="inlineStr">
        <is>
          <t>Maker</t>
        </is>
      </c>
    </row>
    <row r="12">
      <c r="A12" s="71" t="n">
        <v>46294</v>
      </c>
      <c r="B12" s="71" t="n">
        <v>46294</v>
      </c>
      <c r="C12" s="30" t="inlineStr">
        <is>
          <t>TENAGA NASIONAL BERHAD</t>
        </is>
      </c>
      <c r="D12" s="30" t="inlineStr">
        <is>
          <t>TNB Sep - BSP 29G outlet</t>
        </is>
      </c>
      <c r="E12" s="72" t="n">
        <v>3540.1</v>
      </c>
      <c r="F12" s="30" t="inlineStr">
        <is>
          <t>JomPAY</t>
        </is>
      </c>
      <c r="G12" s="30" t="inlineStr">
        <is>
          <t>BSP</t>
        </is>
      </c>
      <c r="H12" s="30" t="inlineStr">
        <is>
          <t>Maker</t>
        </is>
      </c>
    </row>
    <row r="13">
      <c r="A13" s="71" t="n">
        <v>46294</v>
      </c>
      <c r="B13" s="71" t="n">
        <v>46294</v>
      </c>
      <c r="C13" s="30" t="inlineStr">
        <is>
          <t>TENAGA NASIONAL BERHAD</t>
        </is>
      </c>
      <c r="D13" s="30" t="inlineStr">
        <is>
          <t>TNB Sep - Cheras 85G outlet</t>
        </is>
      </c>
      <c r="E13" s="72" t="n">
        <v>2754.6</v>
      </c>
      <c r="F13" s="30" t="inlineStr">
        <is>
          <t>JomPAY</t>
        </is>
      </c>
      <c r="G13" s="30" t="inlineStr">
        <is>
          <t>CHERAS</t>
        </is>
      </c>
      <c r="H13" s="30" t="inlineStr">
        <is>
          <t>Maker</t>
        </is>
      </c>
    </row>
    <row r="14">
      <c r="A14" s="71" t="n">
        <v>46294</v>
      </c>
      <c r="B14" s="71" t="n">
        <v>46294</v>
      </c>
      <c r="C14" s="30" t="inlineStr">
        <is>
          <t>MM AIN ENTERPRISE</t>
        </is>
      </c>
      <c r="D14" s="30" t="inlineStr">
        <is>
          <t>Waste management Kuantan - Sep 2026</t>
        </is>
      </c>
      <c r="E14" s="72" t="n">
        <v>1000</v>
      </c>
      <c r="F14" s="30" t="inlineStr">
        <is>
          <t>Interbank</t>
        </is>
      </c>
      <c r="G14" s="30" t="inlineStr">
        <is>
          <t>KUANTAN</t>
        </is>
      </c>
      <c r="H14" s="30" t="inlineStr">
        <is>
          <t>Maker</t>
        </is>
      </c>
    </row>
    <row r="15">
      <c r="A15" s="71" t="n">
        <v>46294</v>
      </c>
      <c r="B15" s="71" t="n">
        <v>46294</v>
      </c>
      <c r="C15" s="30" t="inlineStr">
        <is>
          <t>KWSP</t>
        </is>
      </c>
      <c r="D15" s="30" t="inlineStr">
        <is>
          <t>KWSP Jul 2026</t>
        </is>
      </c>
      <c r="E15" s="72" t="n">
        <v>922</v>
      </c>
      <c r="F15" s="30" t="inlineStr">
        <is>
          <t>M2E</t>
        </is>
      </c>
      <c r="G15" s="30" t="inlineStr">
        <is>
          <t>HQ</t>
        </is>
      </c>
      <c r="H15" s="30" t="inlineStr">
        <is>
          <t>Maker</t>
        </is>
      </c>
    </row>
    <row r="16">
      <c r="A16" s="71" t="n">
        <v>46294</v>
      </c>
      <c r="B16" s="71" t="n">
        <v>46294</v>
      </c>
      <c r="C16" s="30" t="inlineStr">
        <is>
          <t>BERJAYA CKE</t>
        </is>
      </c>
      <c r="D16" s="30" t="inlineStr">
        <is>
          <t>Door installation - KLTS</t>
        </is>
      </c>
      <c r="E16" s="72" t="n">
        <v>650</v>
      </c>
      <c r="F16" s="30" t="inlineStr">
        <is>
          <t>Interbank</t>
        </is>
      </c>
      <c r="G16" s="30" t="inlineStr">
        <is>
          <t>KLTS</t>
        </is>
      </c>
      <c r="H16" s="30" t="inlineStr">
        <is>
          <t>Maker</t>
        </is>
      </c>
    </row>
    <row r="17">
      <c r="A17" s="71" t="n">
        <v>46294</v>
      </c>
      <c r="B17" s="71" t="n">
        <v>46294</v>
      </c>
      <c r="C17" s="30" t="inlineStr">
        <is>
          <t>MUHAMMAD AKMAL</t>
        </is>
      </c>
      <c r="D17" s="30" t="inlineStr">
        <is>
          <t>Insurance renewal - foreign workers</t>
        </is>
      </c>
      <c r="E17" s="72" t="n">
        <v>557</v>
      </c>
      <c r="F17" s="30" t="inlineStr">
        <is>
          <t>Interbank</t>
        </is>
      </c>
      <c r="G17" s="30" t="inlineStr">
        <is>
          <t>HQ</t>
        </is>
      </c>
      <c r="H17" s="30" t="inlineStr">
        <is>
          <t>Maker</t>
        </is>
      </c>
    </row>
    <row r="18">
      <c r="A18" s="71" t="n">
        <v>46294</v>
      </c>
      <c r="B18" s="71" t="n">
        <v>46294</v>
      </c>
      <c r="C18" s="30" t="inlineStr">
        <is>
          <t>GOPOS 365</t>
        </is>
      </c>
      <c r="D18" s="30" t="inlineStr">
        <is>
          <t>Thermal Hubbo printer - TTDI</t>
        </is>
      </c>
      <c r="E18" s="72" t="n">
        <v>550</v>
      </c>
      <c r="F18" s="30" t="inlineStr">
        <is>
          <t>Interbank</t>
        </is>
      </c>
      <c r="G18" s="30" t="inlineStr">
        <is>
          <t>TTDI</t>
        </is>
      </c>
      <c r="H18" s="30" t="inlineStr">
        <is>
          <t>Maker</t>
        </is>
      </c>
    </row>
    <row r="19">
      <c r="A19" s="71" t="n">
        <v>46294</v>
      </c>
      <c r="B19" s="71" t="n">
        <v>46294</v>
      </c>
      <c r="C19" s="30" t="inlineStr">
        <is>
          <t>SYABAS</t>
        </is>
      </c>
      <c r="D19" s="30" t="inlineStr">
        <is>
          <t>Syabas Sep - Cheras outlet</t>
        </is>
      </c>
      <c r="E19" s="72" t="n">
        <v>528.85</v>
      </c>
      <c r="F19" s="30" t="inlineStr">
        <is>
          <t>JomPAY</t>
        </is>
      </c>
      <c r="G19" s="30" t="inlineStr">
        <is>
          <t>CHERAS</t>
        </is>
      </c>
      <c r="H19" s="30" t="inlineStr">
        <is>
          <t>Maker</t>
        </is>
      </c>
    </row>
    <row r="20">
      <c r="A20" s="71" t="n">
        <v>46294</v>
      </c>
      <c r="B20" s="71" t="n">
        <v>46294</v>
      </c>
      <c r="C20" s="30" t="inlineStr">
        <is>
          <t>AFIQAH JAMIL</t>
        </is>
      </c>
      <c r="D20" s="30" t="inlineStr">
        <is>
          <t>Gas - Pasir Gudang</t>
        </is>
      </c>
      <c r="E20" s="72" t="n">
        <v>504</v>
      </c>
      <c r="F20" s="30" t="inlineStr">
        <is>
          <t>Interbank</t>
        </is>
      </c>
      <c r="G20" s="30" t="inlineStr">
        <is>
          <t>PASIR GUDANG</t>
        </is>
      </c>
      <c r="H20" s="30" t="inlineStr">
        <is>
          <t>Maker</t>
        </is>
      </c>
    </row>
    <row r="21">
      <c r="A21" s="71" t="n">
        <v>46294</v>
      </c>
      <c r="B21" s="71" t="n">
        <v>46294</v>
      </c>
      <c r="C21" s="30" t="inlineStr">
        <is>
          <t>TENAGA NASIONAL BERHAD</t>
        </is>
      </c>
      <c r="D21" s="30" t="inlineStr">
        <is>
          <t>TNB Sep - BSP 29-2 hostel</t>
        </is>
      </c>
      <c r="E21" s="72" t="n">
        <v>443.8</v>
      </c>
      <c r="F21" s="30" t="inlineStr">
        <is>
          <t>JomPAY</t>
        </is>
      </c>
      <c r="G21" s="30" t="inlineStr">
        <is>
          <t>BSP</t>
        </is>
      </c>
      <c r="H21" s="30" t="inlineStr">
        <is>
          <t>Maker</t>
        </is>
      </c>
    </row>
    <row r="22">
      <c r="A22" s="71" t="n">
        <v>46294</v>
      </c>
      <c r="B22" s="71" t="n">
        <v>46294</v>
      </c>
      <c r="C22" s="30" t="inlineStr">
        <is>
          <t>CHOP SOON KIONG</t>
        </is>
      </c>
      <c r="D22" s="30" t="inlineStr">
        <is>
          <t>Fire extinguisher - Pasir Gudang</t>
        </is>
      </c>
      <c r="E22" s="72" t="n">
        <v>360</v>
      </c>
      <c r="F22" s="30" t="inlineStr">
        <is>
          <t>MBB</t>
        </is>
      </c>
      <c r="G22" s="30" t="inlineStr">
        <is>
          <t>PASIR GUDANG</t>
        </is>
      </c>
      <c r="H22" s="30" t="inlineStr">
        <is>
          <t>Maker</t>
        </is>
      </c>
    </row>
    <row r="23">
      <c r="A23" s="71" t="n">
        <v>46294</v>
      </c>
      <c r="B23" s="71" t="n">
        <v>46294</v>
      </c>
      <c r="C23" s="30" t="inlineStr">
        <is>
          <t>TENAGA NASIONAL BERHAD</t>
        </is>
      </c>
      <c r="D23" s="30" t="inlineStr">
        <is>
          <t>TNB Sep - Cheras hostel 2</t>
        </is>
      </c>
      <c r="E23" s="72" t="n">
        <v>304.95</v>
      </c>
      <c r="F23" s="30" t="inlineStr">
        <is>
          <t>JomPAY</t>
        </is>
      </c>
      <c r="G23" s="30" t="inlineStr">
        <is>
          <t>CHERAS</t>
        </is>
      </c>
      <c r="H23" s="30" t="inlineStr">
        <is>
          <t>Maker</t>
        </is>
      </c>
    </row>
    <row r="24">
      <c r="A24" s="71" t="n">
        <v>46294</v>
      </c>
      <c r="B24" s="71" t="n">
        <v>46294</v>
      </c>
      <c r="C24" s="30" t="inlineStr">
        <is>
          <t>TENAGA NASIONAL BERHAD</t>
        </is>
      </c>
      <c r="D24" s="30" t="inlineStr">
        <is>
          <t>TNB Sep - Sg Besi hostel</t>
        </is>
      </c>
      <c r="E24" s="72" t="n">
        <v>272.8</v>
      </c>
      <c r="F24" s="30" t="inlineStr">
        <is>
          <t>JomPAY</t>
        </is>
      </c>
      <c r="G24" s="30" t="inlineStr">
        <is>
          <t>SG BESI</t>
        </is>
      </c>
      <c r="H24" s="30" t="inlineStr">
        <is>
          <t>Maker</t>
        </is>
      </c>
    </row>
    <row r="25">
      <c r="A25" s="71" t="n">
        <v>46294</v>
      </c>
      <c r="B25" s="71" t="n">
        <v>46294</v>
      </c>
      <c r="C25" s="30" t="inlineStr">
        <is>
          <t>SYABAS</t>
        </is>
      </c>
      <c r="D25" s="30" t="inlineStr">
        <is>
          <t>Syabas Sep - Cheras hostel 1</t>
        </is>
      </c>
      <c r="E25" s="72" t="n">
        <v>216.3</v>
      </c>
      <c r="F25" s="30" t="inlineStr">
        <is>
          <t>JomPAY</t>
        </is>
      </c>
      <c r="G25" s="30" t="inlineStr">
        <is>
          <t>CHERAS</t>
        </is>
      </c>
      <c r="H25" s="30" t="inlineStr">
        <is>
          <t>Maker</t>
        </is>
      </c>
    </row>
    <row r="26">
      <c r="A26" s="71" t="n">
        <v>46294</v>
      </c>
      <c r="B26" s="71" t="n">
        <v>46294</v>
      </c>
      <c r="C26" s="30" t="inlineStr">
        <is>
          <t>SYABAS</t>
        </is>
      </c>
      <c r="D26" s="30" t="inlineStr">
        <is>
          <t>Syabas Sep - Cheras hostel 2</t>
        </is>
      </c>
      <c r="E26" s="72" t="n">
        <v>89.95</v>
      </c>
      <c r="F26" s="30" t="inlineStr">
        <is>
          <t>JomPAY</t>
        </is>
      </c>
      <c r="G26" s="30" t="inlineStr">
        <is>
          <t>CHERAS</t>
        </is>
      </c>
      <c r="H26" s="30" t="inlineStr">
        <is>
          <t>Maker</t>
        </is>
      </c>
    </row>
    <row r="27">
      <c r="A27" s="71" t="n">
        <v>46294</v>
      </c>
      <c r="B27" s="71" t="n">
        <v>46294</v>
      </c>
      <c r="C27" s="30" t="inlineStr">
        <is>
          <t>TENAGA NASIONAL BERHAD</t>
        </is>
      </c>
      <c r="D27" s="30" t="inlineStr">
        <is>
          <t>TNB Sep - Cheras hostel 3</t>
        </is>
      </c>
      <c r="E27" s="72" t="n">
        <v>59.85</v>
      </c>
      <c r="F27" s="30" t="inlineStr">
        <is>
          <t>JomPAY</t>
        </is>
      </c>
      <c r="G27" s="30" t="inlineStr">
        <is>
          <t>CHERAS</t>
        </is>
      </c>
      <c r="H27" s="30" t="inlineStr">
        <is>
          <t>Maker</t>
        </is>
      </c>
    </row>
    <row r="28">
      <c r="A28" s="71" t="n">
        <v>46294</v>
      </c>
      <c r="B28" s="71" t="n">
        <v>46294</v>
      </c>
      <c r="C28" s="30" t="inlineStr">
        <is>
          <t>TENAGA NASIONAL BERHAD</t>
        </is>
      </c>
      <c r="D28" s="30" t="inlineStr">
        <is>
          <t>TNB Sep - Cheras hostel 1</t>
        </is>
      </c>
      <c r="E28" s="72" t="n">
        <v>56.15</v>
      </c>
      <c r="F28" s="30" t="inlineStr">
        <is>
          <t>JomPAY</t>
        </is>
      </c>
      <c r="G28" s="30" t="inlineStr">
        <is>
          <t>CHERAS</t>
        </is>
      </c>
      <c r="H28" s="30" t="inlineStr">
        <is>
          <t>Maker</t>
        </is>
      </c>
    </row>
    <row r="29">
      <c r="A29" s="71" t="n">
        <v>46294</v>
      </c>
      <c r="B29" s="71" t="n">
        <v>46294</v>
      </c>
      <c r="C29" s="30" t="inlineStr">
        <is>
          <t>SYABAS</t>
        </is>
      </c>
      <c r="D29" s="30" t="inlineStr">
        <is>
          <t>Syabas Sep - Cheras hostel 3</t>
        </is>
      </c>
      <c r="E29" s="72" t="n">
        <v>32.45</v>
      </c>
      <c r="F29" s="30" t="inlineStr">
        <is>
          <t>JomPAY</t>
        </is>
      </c>
      <c r="G29" s="30" t="inlineStr">
        <is>
          <t>CHERAS</t>
        </is>
      </c>
      <c r="H29" s="30" t="inlineStr">
        <is>
          <t>Maker</t>
        </is>
      </c>
    </row>
    <row r="30">
      <c r="A30" s="71" t="n">
        <v>46295</v>
      </c>
      <c r="B30" s="71" t="n">
        <v>46295</v>
      </c>
      <c r="C30" s="30" t="inlineStr">
        <is>
          <t>JABATAN KASTAM DIRAJA MALAYSIA</t>
        </is>
      </c>
      <c r="D30" s="30" t="inlineStr">
        <is>
          <t>SST TGFB - Jul &amp; Aug 2026</t>
        </is>
      </c>
      <c r="E30" s="72" t="n">
        <v>1152543.6</v>
      </c>
      <c r="F30" s="30" t="inlineStr">
        <is>
          <t>M2E</t>
        </is>
      </c>
      <c r="G30" s="30" t="inlineStr">
        <is>
          <t>TGFB</t>
        </is>
      </c>
      <c r="H30" s="30" t="str"/>
    </row>
    <row r="31">
      <c r="A31" s="71" t="n">
        <v>46295</v>
      </c>
      <c r="B31" s="71" t="n">
        <v>46295</v>
      </c>
      <c r="C31" s="30" t="inlineStr">
        <is>
          <t>TOP GLOBAL FOOD AND BEVERAGES</t>
        </is>
      </c>
      <c r="D31" s="30" t="inlineStr">
        <is>
          <t>Hire purchase VHQ537 - Jul 2026</t>
        </is>
      </c>
      <c r="E31" s="72" t="n">
        <v>5444</v>
      </c>
      <c r="F31" s="30" t="inlineStr">
        <is>
          <t>Interbank</t>
        </is>
      </c>
      <c r="G31" s="30" t="inlineStr">
        <is>
          <t>HQ</t>
        </is>
      </c>
      <c r="H31" s="30" t="inlineStr">
        <is>
          <t>Maker</t>
        </is>
      </c>
    </row>
    <row r="32">
      <c r="A32" s="71" t="n">
        <v>46295</v>
      </c>
      <c r="B32" s="71" t="n">
        <v>46295</v>
      </c>
      <c r="C32" s="30" t="inlineStr">
        <is>
          <t>NUR HANA NASIHAH</t>
        </is>
      </c>
      <c r="D32" s="30" t="inlineStr">
        <is>
          <t>Food training for staff</t>
        </is>
      </c>
      <c r="E32" s="72" t="n">
        <v>5000</v>
      </c>
      <c r="F32" s="30" t="inlineStr">
        <is>
          <t>Interbank</t>
        </is>
      </c>
      <c r="G32" s="30" t="inlineStr">
        <is>
          <t>HQ</t>
        </is>
      </c>
      <c r="H32" s="30" t="str"/>
    </row>
    <row r="33">
      <c r="A33" s="71" t="n">
        <v>46295</v>
      </c>
      <c r="B33" s="71" t="n">
        <v>46295</v>
      </c>
      <c r="C33" s="30" t="inlineStr">
        <is>
          <t>AINA NOORA</t>
        </is>
      </c>
      <c r="D33" s="30" t="inlineStr">
        <is>
          <t>Cash advance - Aina</t>
        </is>
      </c>
      <c r="E33" s="72" t="n">
        <v>2522.66</v>
      </c>
      <c r="F33" s="30" t="inlineStr">
        <is>
          <t>Interbank</t>
        </is>
      </c>
      <c r="G33" s="30" t="inlineStr">
        <is>
          <t>HQ</t>
        </is>
      </c>
      <c r="H33" s="30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6" customWidth="1" min="4" max="4"/>
    <col width="28" customWidth="1" min="5" max="5"/>
    <col width="15" customWidth="1" min="6" max="6"/>
    <col width="15" customWidth="1" min="7" max="7"/>
    <col width="17" customWidth="1" min="8" max="8"/>
  </cols>
  <sheetData>
    <row r="1">
      <c r="A1" s="43" t="inlineStr">
        <is>
          <t>Date</t>
        </is>
      </c>
      <c r="B1" s="43" t="inlineStr">
        <is>
          <t>Description</t>
        </is>
      </c>
      <c r="C1" s="43" t="inlineStr">
        <is>
          <t>Sender / Beneficiary</t>
        </is>
      </c>
      <c r="D1" s="43" t="inlineStr">
        <is>
          <t>Reference 1</t>
        </is>
      </c>
      <c r="E1" s="43" t="inlineStr">
        <is>
          <t>Reference 2</t>
        </is>
      </c>
      <c r="F1" s="43" t="inlineStr">
        <is>
          <t>Debit (RM)</t>
        </is>
      </c>
      <c r="G1" s="43" t="inlineStr">
        <is>
          <t>Credit (RM)</t>
        </is>
      </c>
      <c r="H1" s="43" t="inlineStr">
        <is>
          <t>Balance (RM)</t>
        </is>
      </c>
    </row>
    <row r="2">
      <c r="A2" s="71" t="n">
        <v>46266</v>
      </c>
      <c r="B2" s="30" t="inlineStr">
        <is>
          <t>CDT CASH DEPOSIT</t>
        </is>
      </c>
      <c r="C2" s="30" t="inlineStr">
        <is>
          <t>/</t>
        </is>
      </c>
      <c r="D2" s="30" t="inlineStr">
        <is>
          <t>/</t>
        </is>
      </c>
      <c r="E2" s="30" t="inlineStr">
        <is>
          <t>/</t>
        </is>
      </c>
      <c r="F2" s="72" t="n">
        <v>0</v>
      </c>
      <c r="G2" s="72" t="n">
        <v>100</v>
      </c>
      <c r="H2" s="72" t="n">
        <v>35980.04</v>
      </c>
    </row>
    <row r="3">
      <c r="A3" s="71" t="n">
        <v>46266</v>
      </c>
      <c r="B3" s="30" t="inlineStr">
        <is>
          <t>CDT CASH DEPOSIT</t>
        </is>
      </c>
      <c r="C3" s="30" t="inlineStr">
        <is>
          <t>/</t>
        </is>
      </c>
      <c r="D3" s="30" t="inlineStr">
        <is>
          <t>/</t>
        </is>
      </c>
      <c r="E3" s="30" t="inlineStr">
        <is>
          <t>/</t>
        </is>
      </c>
      <c r="F3" s="72" t="n">
        <v>0</v>
      </c>
      <c r="G3" s="72" t="n">
        <v>1500</v>
      </c>
      <c r="H3" s="72" t="n">
        <v>37480.04</v>
      </c>
    </row>
    <row r="4">
      <c r="A4" s="71" t="n">
        <v>46266</v>
      </c>
      <c r="B4" s="30" t="inlineStr">
        <is>
          <t>RPP INWARD INST TRF</t>
        </is>
      </c>
      <c r="C4" s="30" t="inlineStr">
        <is>
          <t>AMPERA RAYA GLOBAL S /</t>
        </is>
      </c>
      <c r="D4" s="30" t="inlineStr">
        <is>
          <t>/KLTS Ampera</t>
        </is>
      </c>
      <c r="E4" s="30" t="inlineStr">
        <is>
          <t>/KLTS Gr Sewa Sep26</t>
        </is>
      </c>
      <c r="F4" s="72" t="n">
        <v>0</v>
      </c>
      <c r="G4" s="72" t="n">
        <v>8600</v>
      </c>
      <c r="H4" s="72" t="n">
        <v>46080.04</v>
      </c>
    </row>
    <row r="5">
      <c r="A5" s="71" t="n">
        <v>46266</v>
      </c>
      <c r="B5" s="30" t="inlineStr">
        <is>
          <t>REFLEX SERVICE TAX D</t>
        </is>
      </c>
      <c r="C5" s="30" t="inlineStr">
        <is>
          <t>/</t>
        </is>
      </c>
      <c r="D5" s="30" t="inlineStr">
        <is>
          <t>/</t>
        </is>
      </c>
      <c r="E5" s="30" t="inlineStr">
        <is>
          <t>M01/</t>
        </is>
      </c>
      <c r="F5" s="72" t="n">
        <v>4</v>
      </c>
      <c r="G5" s="72" t="n">
        <v>0</v>
      </c>
      <c r="H5" s="72" t="n">
        <v>46076.04</v>
      </c>
    </row>
    <row r="6">
      <c r="A6" s="71" t="n">
        <v>46266</v>
      </c>
      <c r="B6" s="30" t="inlineStr">
        <is>
          <t>REFLEX-SUBSCRIP CHAR</t>
        </is>
      </c>
      <c r="C6" s="30" t="inlineStr">
        <is>
          <t>/</t>
        </is>
      </c>
      <c r="D6" s="30" t="inlineStr">
        <is>
          <t>/</t>
        </is>
      </c>
      <c r="E6" s="30" t="inlineStr">
        <is>
          <t>M01/</t>
        </is>
      </c>
      <c r="F6" s="72" t="n">
        <v>50</v>
      </c>
      <c r="G6" s="72" t="n">
        <v>0</v>
      </c>
      <c r="H6" s="72" t="n">
        <v>46026.04</v>
      </c>
    </row>
    <row r="7">
      <c r="A7" s="71" t="n">
        <v>46267</v>
      </c>
      <c r="B7" s="30" t="inlineStr">
        <is>
          <t>CDT CASH DEPOSIT</t>
        </is>
      </c>
      <c r="C7" s="30" t="inlineStr">
        <is>
          <t>/</t>
        </is>
      </c>
      <c r="D7" s="30" t="inlineStr">
        <is>
          <t>/</t>
        </is>
      </c>
      <c r="E7" s="30" t="inlineStr">
        <is>
          <t>/</t>
        </is>
      </c>
      <c r="F7" s="72" t="n">
        <v>0</v>
      </c>
      <c r="G7" s="72" t="n">
        <v>1580</v>
      </c>
      <c r="H7" s="72" t="n">
        <v>47606.04</v>
      </c>
    </row>
    <row r="8">
      <c r="A8" s="71" t="n">
        <v>46268</v>
      </c>
      <c r="B8" s="30" t="inlineStr">
        <is>
          <t>CDT CASH DEPOSIT</t>
        </is>
      </c>
      <c r="C8" s="30" t="inlineStr">
        <is>
          <t>/</t>
        </is>
      </c>
      <c r="D8" s="30" t="inlineStr">
        <is>
          <t>/</t>
        </is>
      </c>
      <c r="E8" s="30" t="inlineStr">
        <is>
          <t>/</t>
        </is>
      </c>
      <c r="F8" s="72" t="n">
        <v>0</v>
      </c>
      <c r="G8" s="72" t="n">
        <v>1920</v>
      </c>
      <c r="H8" s="72" t="n">
        <v>49526.04</v>
      </c>
    </row>
    <row r="9">
      <c r="A9" s="71" t="n">
        <v>46269</v>
      </c>
      <c r="B9" s="30" t="inlineStr">
        <is>
          <t>CDT CASH DEPOSIT</t>
        </is>
      </c>
      <c r="C9" s="30" t="inlineStr">
        <is>
          <t>/</t>
        </is>
      </c>
      <c r="D9" s="30" t="inlineStr">
        <is>
          <t>/</t>
        </is>
      </c>
      <c r="E9" s="30" t="inlineStr">
        <is>
          <t>/</t>
        </is>
      </c>
      <c r="F9" s="72" t="n">
        <v>0</v>
      </c>
      <c r="G9" s="72" t="n">
        <v>50</v>
      </c>
      <c r="H9" s="72" t="n">
        <v>49576.04</v>
      </c>
    </row>
    <row r="10">
      <c r="A10" s="71" t="n">
        <v>46269</v>
      </c>
      <c r="B10" s="30" t="inlineStr">
        <is>
          <t>CDT CASH DEPOSIT</t>
        </is>
      </c>
      <c r="C10" s="30" t="inlineStr">
        <is>
          <t>/</t>
        </is>
      </c>
      <c r="D10" s="30" t="inlineStr">
        <is>
          <t>/</t>
        </is>
      </c>
      <c r="E10" s="30" t="inlineStr">
        <is>
          <t>/</t>
        </is>
      </c>
      <c r="F10" s="72" t="n">
        <v>0</v>
      </c>
      <c r="G10" s="72" t="n">
        <v>350</v>
      </c>
      <c r="H10" s="72" t="n">
        <v>49926.04</v>
      </c>
    </row>
    <row r="11">
      <c r="A11" s="71" t="n">
        <v>46270</v>
      </c>
      <c r="B11" s="30" t="inlineStr">
        <is>
          <t>CDT CASH DEPOSIT</t>
        </is>
      </c>
      <c r="C11" s="30" t="inlineStr">
        <is>
          <t>/</t>
        </is>
      </c>
      <c r="D11" s="30" t="inlineStr">
        <is>
          <t>/</t>
        </is>
      </c>
      <c r="E11" s="30" t="inlineStr">
        <is>
          <t>/</t>
        </is>
      </c>
      <c r="F11" s="72" t="n">
        <v>0</v>
      </c>
      <c r="G11" s="72" t="n">
        <v>1180</v>
      </c>
      <c r="H11" s="72" t="n">
        <v>51106.04</v>
      </c>
    </row>
    <row r="12">
      <c r="A12" s="71" t="n">
        <v>46270</v>
      </c>
      <c r="B12" s="30" t="inlineStr">
        <is>
          <t>CDT CASH DEPOSIT</t>
        </is>
      </c>
      <c r="C12" s="30" t="inlineStr">
        <is>
          <t>/</t>
        </is>
      </c>
      <c r="D12" s="30" t="inlineStr">
        <is>
          <t>/</t>
        </is>
      </c>
      <c r="E12" s="30" t="inlineStr">
        <is>
          <t>/</t>
        </is>
      </c>
      <c r="F12" s="72" t="n">
        <v>0</v>
      </c>
      <c r="G12" s="72" t="n">
        <v>1970</v>
      </c>
      <c r="H12" s="72" t="n">
        <v>53076.04</v>
      </c>
    </row>
    <row r="13">
      <c r="A13" s="71" t="n">
        <v>46271</v>
      </c>
      <c r="B13" s="30" t="inlineStr">
        <is>
          <t>CDT CASH DEPOSIT</t>
        </is>
      </c>
      <c r="C13" s="30" t="inlineStr">
        <is>
          <t>/</t>
        </is>
      </c>
      <c r="D13" s="30" t="inlineStr">
        <is>
          <t>/</t>
        </is>
      </c>
      <c r="E13" s="30" t="inlineStr">
        <is>
          <t>/</t>
        </is>
      </c>
      <c r="F13" s="72" t="n">
        <v>0</v>
      </c>
      <c r="G13" s="72" t="n">
        <v>1420</v>
      </c>
      <c r="H13" s="72" t="n">
        <v>54496.04</v>
      </c>
    </row>
    <row r="14">
      <c r="A14" s="71" t="n">
        <v>46272</v>
      </c>
      <c r="B14" s="30" t="inlineStr">
        <is>
          <t>CDT CASH DEPOSIT</t>
        </is>
      </c>
      <c r="C14" s="30" t="inlineStr">
        <is>
          <t>/</t>
        </is>
      </c>
      <c r="D14" s="30" t="inlineStr">
        <is>
          <t>/</t>
        </is>
      </c>
      <c r="E14" s="30" t="inlineStr">
        <is>
          <t>/</t>
        </is>
      </c>
      <c r="F14" s="72" t="n">
        <v>0</v>
      </c>
      <c r="G14" s="72" t="n">
        <v>20</v>
      </c>
      <c r="H14" s="72" t="n">
        <v>54516.04</v>
      </c>
    </row>
    <row r="15">
      <c r="A15" s="71" t="n">
        <v>46272</v>
      </c>
      <c r="B15" s="30" t="inlineStr">
        <is>
          <t>CDT CASH DEPOSIT</t>
        </is>
      </c>
      <c r="C15" s="30" t="inlineStr">
        <is>
          <t>/</t>
        </is>
      </c>
      <c r="D15" s="30" t="inlineStr">
        <is>
          <t>/</t>
        </is>
      </c>
      <c r="E15" s="30" t="inlineStr">
        <is>
          <t>/</t>
        </is>
      </c>
      <c r="F15" s="72" t="n">
        <v>0</v>
      </c>
      <c r="G15" s="72" t="n">
        <v>2380</v>
      </c>
      <c r="H15" s="72" t="n">
        <v>56896.04</v>
      </c>
    </row>
    <row r="16">
      <c r="A16" s="71" t="n">
        <v>46273</v>
      </c>
      <c r="B16" s="30" t="inlineStr">
        <is>
          <t>CDT CASH DEPOSIT</t>
        </is>
      </c>
      <c r="C16" s="30" t="inlineStr">
        <is>
          <t>/</t>
        </is>
      </c>
      <c r="D16" s="30" t="inlineStr">
        <is>
          <t>/</t>
        </is>
      </c>
      <c r="E16" s="30" t="inlineStr">
        <is>
          <t>/</t>
        </is>
      </c>
      <c r="F16" s="72" t="n">
        <v>0</v>
      </c>
      <c r="G16" s="72" t="n">
        <v>1840</v>
      </c>
      <c r="H16" s="72" t="n">
        <v>58736.04</v>
      </c>
    </row>
    <row r="17">
      <c r="A17" s="71" t="n">
        <v>46275</v>
      </c>
      <c r="B17" s="30" t="inlineStr">
        <is>
          <t>CDT CASH DEPOSIT</t>
        </is>
      </c>
      <c r="C17" s="30" t="inlineStr">
        <is>
          <t>/</t>
        </is>
      </c>
      <c r="D17" s="30" t="inlineStr">
        <is>
          <t>/</t>
        </is>
      </c>
      <c r="E17" s="30" t="inlineStr">
        <is>
          <t>/</t>
        </is>
      </c>
      <c r="F17" s="72" t="n">
        <v>0</v>
      </c>
      <c r="G17" s="72" t="n">
        <v>10</v>
      </c>
      <c r="H17" s="72" t="n">
        <v>58746.04</v>
      </c>
    </row>
    <row r="18">
      <c r="A18" s="71" t="n">
        <v>46275</v>
      </c>
      <c r="B18" s="30" t="inlineStr">
        <is>
          <t>CDT CASH DEPOSIT</t>
        </is>
      </c>
      <c r="C18" s="30" t="inlineStr">
        <is>
          <t>/</t>
        </is>
      </c>
      <c r="D18" s="30" t="inlineStr">
        <is>
          <t>/</t>
        </is>
      </c>
      <c r="E18" s="30" t="inlineStr">
        <is>
          <t>/</t>
        </is>
      </c>
      <c r="F18" s="72" t="n">
        <v>0</v>
      </c>
      <c r="G18" s="72" t="n">
        <v>1700</v>
      </c>
      <c r="H18" s="72" t="n">
        <v>60446.04</v>
      </c>
    </row>
    <row r="19">
      <c r="A19" s="71" t="n">
        <v>46275</v>
      </c>
      <c r="B19" s="30" t="inlineStr">
        <is>
          <t>CDT CASH DEPOSIT</t>
        </is>
      </c>
      <c r="C19" s="30" t="inlineStr">
        <is>
          <t>/</t>
        </is>
      </c>
      <c r="D19" s="30" t="inlineStr">
        <is>
          <t>/</t>
        </is>
      </c>
      <c r="E19" s="30" t="inlineStr">
        <is>
          <t>/</t>
        </is>
      </c>
      <c r="F19" s="72" t="n">
        <v>0</v>
      </c>
      <c r="G19" s="72" t="n">
        <v>1750</v>
      </c>
      <c r="H19" s="72" t="n">
        <v>62196.04</v>
      </c>
    </row>
    <row r="20">
      <c r="A20" s="71" t="n">
        <v>46277</v>
      </c>
      <c r="B20" s="30" t="inlineStr">
        <is>
          <t>CDT CASH DEPOSIT</t>
        </is>
      </c>
      <c r="C20" s="30" t="inlineStr">
        <is>
          <t>/</t>
        </is>
      </c>
      <c r="D20" s="30" t="inlineStr">
        <is>
          <t>/</t>
        </is>
      </c>
      <c r="E20" s="30" t="inlineStr">
        <is>
          <t>/</t>
        </is>
      </c>
      <c r="F20" s="72" t="n">
        <v>0</v>
      </c>
      <c r="G20" s="72" t="n">
        <v>1580</v>
      </c>
      <c r="H20" s="72" t="n">
        <v>63776.04</v>
      </c>
    </row>
    <row r="21">
      <c r="A21" s="71" t="n">
        <v>46277</v>
      </c>
      <c r="B21" s="30" t="inlineStr">
        <is>
          <t>CDT CASH DEPOSIT</t>
        </is>
      </c>
      <c r="C21" s="30" t="inlineStr">
        <is>
          <t>/</t>
        </is>
      </c>
      <c r="D21" s="30" t="inlineStr">
        <is>
          <t>/</t>
        </is>
      </c>
      <c r="E21" s="30" t="inlineStr">
        <is>
          <t>/</t>
        </is>
      </c>
      <c r="F21" s="72" t="n">
        <v>0</v>
      </c>
      <c r="G21" s="72" t="n">
        <v>2590</v>
      </c>
      <c r="H21" s="72" t="n">
        <v>66366.03999999999</v>
      </c>
    </row>
    <row r="22">
      <c r="A22" s="71" t="n">
        <v>46278</v>
      </c>
      <c r="B22" s="30" t="inlineStr">
        <is>
          <t>CDT CASH DEPOSIT</t>
        </is>
      </c>
      <c r="C22" s="30" t="inlineStr">
        <is>
          <t>/</t>
        </is>
      </c>
      <c r="D22" s="30" t="inlineStr">
        <is>
          <t>/</t>
        </is>
      </c>
      <c r="E22" s="30" t="inlineStr">
        <is>
          <t>/</t>
        </is>
      </c>
      <c r="F22" s="72" t="n">
        <v>0</v>
      </c>
      <c r="G22" s="72" t="n">
        <v>2220</v>
      </c>
      <c r="H22" s="72" t="n">
        <v>68586.03999999999</v>
      </c>
    </row>
    <row r="23">
      <c r="A23" s="71" t="n">
        <v>46280</v>
      </c>
      <c r="B23" s="30" t="inlineStr">
        <is>
          <t>CDT CASH DEPOSIT</t>
        </is>
      </c>
      <c r="C23" s="30" t="inlineStr">
        <is>
          <t>/</t>
        </is>
      </c>
      <c r="D23" s="30" t="inlineStr">
        <is>
          <t>/</t>
        </is>
      </c>
      <c r="E23" s="30" t="inlineStr">
        <is>
          <t>/</t>
        </is>
      </c>
      <c r="F23" s="72" t="n">
        <v>0</v>
      </c>
      <c r="G23" s="72" t="n">
        <v>10</v>
      </c>
      <c r="H23" s="72" t="n">
        <v>68596.03999999999</v>
      </c>
    </row>
    <row r="24">
      <c r="A24" s="71" t="n">
        <v>46280</v>
      </c>
      <c r="B24" s="30" t="inlineStr">
        <is>
          <t>CDT CASH DEPOSIT</t>
        </is>
      </c>
      <c r="C24" s="30" t="inlineStr">
        <is>
          <t>/</t>
        </is>
      </c>
      <c r="D24" s="30" t="inlineStr">
        <is>
          <t>/</t>
        </is>
      </c>
      <c r="E24" s="30" t="inlineStr">
        <is>
          <t>/</t>
        </is>
      </c>
      <c r="F24" s="72" t="n">
        <v>0</v>
      </c>
      <c r="G24" s="72" t="n">
        <v>1280</v>
      </c>
      <c r="H24" s="72" t="n">
        <v>69876.03999999999</v>
      </c>
    </row>
    <row r="25">
      <c r="A25" s="71" t="n">
        <v>46281</v>
      </c>
      <c r="B25" s="30" t="inlineStr">
        <is>
          <t>CDT CASH DEPOSIT</t>
        </is>
      </c>
      <c r="C25" s="30" t="inlineStr">
        <is>
          <t>/</t>
        </is>
      </c>
      <c r="D25" s="30" t="inlineStr">
        <is>
          <t>/</t>
        </is>
      </c>
      <c r="E25" s="30" t="inlineStr">
        <is>
          <t>/</t>
        </is>
      </c>
      <c r="F25" s="72" t="n">
        <v>0</v>
      </c>
      <c r="G25" s="72" t="n">
        <v>120</v>
      </c>
      <c r="H25" s="72" t="n">
        <v>69996.03999999999</v>
      </c>
    </row>
    <row r="26">
      <c r="A26" s="71" t="n">
        <v>46281</v>
      </c>
      <c r="B26" s="30" t="inlineStr">
        <is>
          <t>CDT CASH DEPOSIT</t>
        </is>
      </c>
      <c r="C26" s="30" t="inlineStr">
        <is>
          <t>/</t>
        </is>
      </c>
      <c r="D26" s="30" t="inlineStr">
        <is>
          <t>/</t>
        </is>
      </c>
      <c r="E26" s="30" t="inlineStr">
        <is>
          <t>/</t>
        </is>
      </c>
      <c r="F26" s="72" t="n">
        <v>0</v>
      </c>
      <c r="G26" s="72" t="n">
        <v>1030</v>
      </c>
      <c r="H26" s="72" t="n">
        <v>71026.03999999999</v>
      </c>
    </row>
    <row r="27">
      <c r="A27" s="71" t="n">
        <v>46281</v>
      </c>
      <c r="B27" s="30" t="inlineStr">
        <is>
          <t>CDT CASH DEPOSIT</t>
        </is>
      </c>
      <c r="C27" s="30" t="inlineStr">
        <is>
          <t>/</t>
        </is>
      </c>
      <c r="D27" s="30" t="inlineStr">
        <is>
          <t>/</t>
        </is>
      </c>
      <c r="E27" s="30" t="inlineStr">
        <is>
          <t>/</t>
        </is>
      </c>
      <c r="F27" s="72" t="n">
        <v>0</v>
      </c>
      <c r="G27" s="72" t="n">
        <v>1520</v>
      </c>
      <c r="H27" s="72" t="n">
        <v>72546.03999999999</v>
      </c>
    </row>
    <row r="28">
      <c r="A28" s="71" t="n">
        <v>46283</v>
      </c>
      <c r="B28" s="30" t="inlineStr">
        <is>
          <t>CDT CASH DEPOSIT</t>
        </is>
      </c>
      <c r="C28" s="30" t="inlineStr">
        <is>
          <t>/</t>
        </is>
      </c>
      <c r="D28" s="30" t="inlineStr">
        <is>
          <t>/</t>
        </is>
      </c>
      <c r="E28" s="30" t="inlineStr">
        <is>
          <t>/</t>
        </is>
      </c>
      <c r="F28" s="72" t="n">
        <v>0</v>
      </c>
      <c r="G28" s="72" t="n">
        <v>1530</v>
      </c>
      <c r="H28" s="72" t="n">
        <v>74076.03999999999</v>
      </c>
    </row>
    <row r="29">
      <c r="A29" s="71" t="n">
        <v>46284</v>
      </c>
      <c r="B29" s="30" t="inlineStr">
        <is>
          <t>CDT CASH DEPOSIT</t>
        </is>
      </c>
      <c r="C29" s="30" t="inlineStr">
        <is>
          <t>/</t>
        </is>
      </c>
      <c r="D29" s="30" t="inlineStr">
        <is>
          <t>/</t>
        </is>
      </c>
      <c r="E29" s="30" t="inlineStr">
        <is>
          <t>/</t>
        </is>
      </c>
      <c r="F29" s="72" t="n">
        <v>0</v>
      </c>
      <c r="G29" s="72" t="n">
        <v>1640</v>
      </c>
      <c r="H29" s="72" t="n">
        <v>75716.03999999999</v>
      </c>
    </row>
    <row r="30">
      <c r="A30" s="71" t="n">
        <v>46284</v>
      </c>
      <c r="B30" s="30" t="inlineStr">
        <is>
          <t>CDT CASH DEPOSIT</t>
        </is>
      </c>
      <c r="C30" s="30" t="inlineStr">
        <is>
          <t>/</t>
        </is>
      </c>
      <c r="D30" s="30" t="inlineStr">
        <is>
          <t>/</t>
        </is>
      </c>
      <c r="E30" s="30" t="inlineStr">
        <is>
          <t>/</t>
        </is>
      </c>
      <c r="F30" s="72" t="n">
        <v>0</v>
      </c>
      <c r="G30" s="72" t="n">
        <v>2620</v>
      </c>
      <c r="H30" s="72" t="n">
        <v>78336.03999999999</v>
      </c>
    </row>
    <row r="31">
      <c r="A31" s="71" t="n">
        <v>46285</v>
      </c>
      <c r="B31" s="30" t="inlineStr">
        <is>
          <t>CDT CASH DEPOSIT</t>
        </is>
      </c>
      <c r="C31" s="30" t="inlineStr">
        <is>
          <t>/</t>
        </is>
      </c>
      <c r="D31" s="30" t="inlineStr">
        <is>
          <t>/</t>
        </is>
      </c>
      <c r="E31" s="30" t="inlineStr">
        <is>
          <t>/</t>
        </is>
      </c>
      <c r="F31" s="72" t="n">
        <v>0</v>
      </c>
      <c r="G31" s="72" t="n">
        <v>940</v>
      </c>
      <c r="H31" s="72" t="n">
        <v>79276.03999999999</v>
      </c>
    </row>
    <row r="32">
      <c r="A32" s="71" t="n">
        <v>46287</v>
      </c>
      <c r="B32" s="30" t="inlineStr">
        <is>
          <t>CDT CASH DEPOSIT</t>
        </is>
      </c>
      <c r="C32" s="30" t="inlineStr">
        <is>
          <t>/</t>
        </is>
      </c>
      <c r="D32" s="30" t="inlineStr">
        <is>
          <t>/</t>
        </is>
      </c>
      <c r="E32" s="30" t="inlineStr">
        <is>
          <t>/</t>
        </is>
      </c>
      <c r="F32" s="72" t="n">
        <v>0</v>
      </c>
      <c r="G32" s="72" t="n">
        <v>1630</v>
      </c>
      <c r="H32" s="72" t="n">
        <v>80906.03999999999</v>
      </c>
    </row>
    <row r="33">
      <c r="A33" s="71" t="n">
        <v>46287</v>
      </c>
      <c r="B33" s="30" t="inlineStr">
        <is>
          <t>CASH DEPOSIT</t>
        </is>
      </c>
      <c r="C33" s="30" t="inlineStr">
        <is>
          <t>/</t>
        </is>
      </c>
      <c r="D33" s="30" t="inlineStr">
        <is>
          <t>/</t>
        </is>
      </c>
      <c r="E33" s="30" t="inlineStr">
        <is>
          <t>/</t>
        </is>
      </c>
      <c r="F33" s="72" t="n">
        <v>0</v>
      </c>
      <c r="G33" s="72" t="n">
        <v>2490</v>
      </c>
      <c r="H33" s="72" t="n">
        <v>83396.03999999999</v>
      </c>
    </row>
    <row r="34">
      <c r="A34" s="71" t="n">
        <v>46288</v>
      </c>
      <c r="B34" s="30" t="inlineStr">
        <is>
          <t>RPP INWARD INST TRF</t>
        </is>
      </c>
      <c r="C34" s="30" t="inlineStr">
        <is>
          <t>DAE GUK M SDN. BHD. /</t>
        </is>
      </c>
      <c r="D34" s="30" t="inlineStr">
        <is>
          <t>/LICENSING PJ</t>
        </is>
      </c>
      <c r="E34" s="30" t="inlineStr">
        <is>
          <t>/PV2609-167</t>
        </is>
      </c>
      <c r="F34" s="72" t="n">
        <v>0</v>
      </c>
      <c r="G34" s="72" t="n">
        <v>200000</v>
      </c>
      <c r="H34" s="72" t="n">
        <v>283396.04</v>
      </c>
    </row>
    <row r="35">
      <c r="A35" s="71" t="n">
        <v>46289</v>
      </c>
      <c r="B35" s="30" t="inlineStr">
        <is>
          <t>CASH DEPOSIT</t>
        </is>
      </c>
      <c r="C35" s="30" t="inlineStr">
        <is>
          <t>/</t>
        </is>
      </c>
      <c r="D35" s="30" t="inlineStr">
        <is>
          <t>/</t>
        </is>
      </c>
      <c r="E35" s="30" t="inlineStr">
        <is>
          <t>/</t>
        </is>
      </c>
      <c r="F35" s="72" t="n">
        <v>0</v>
      </c>
      <c r="G35" s="72" t="n">
        <v>1470</v>
      </c>
      <c r="H35" s="72" t="n">
        <v>284866.04</v>
      </c>
    </row>
    <row r="36">
      <c r="A36" s="71" t="n">
        <v>46289</v>
      </c>
      <c r="B36" s="30" t="inlineStr">
        <is>
          <t>CDT CASH DEPOSIT</t>
        </is>
      </c>
      <c r="C36" s="30" t="inlineStr">
        <is>
          <t>/</t>
        </is>
      </c>
      <c r="D36" s="30" t="inlineStr">
        <is>
          <t>/</t>
        </is>
      </c>
      <c r="E36" s="30" t="inlineStr">
        <is>
          <t>/</t>
        </is>
      </c>
      <c r="F36" s="72" t="n">
        <v>0</v>
      </c>
      <c r="G36" s="72" t="n">
        <v>1500</v>
      </c>
      <c r="H36" s="72" t="n">
        <v>286366.04</v>
      </c>
    </row>
    <row r="37">
      <c r="A37" s="71" t="n">
        <v>46290</v>
      </c>
      <c r="B37" s="30" t="inlineStr">
        <is>
          <t>RPP INWARD DUITNOW C</t>
        </is>
      </c>
      <c r="C37" s="30" t="inlineStr">
        <is>
          <t>SYARIKAT TAKAFUL MAL /</t>
        </is>
      </c>
      <c r="D37" s="30" t="inlineStr">
        <is>
          <t>/P4904768</t>
        </is>
      </c>
      <c r="E37" s="30" t="inlineStr">
        <is>
          <t>/Cash Back Payout</t>
        </is>
      </c>
      <c r="F37" s="72" t="n">
        <v>0</v>
      </c>
      <c r="G37" s="72" t="n">
        <v>228.15</v>
      </c>
      <c r="H37" s="72" t="n">
        <v>286594.19</v>
      </c>
    </row>
    <row r="38">
      <c r="A38" s="71" t="n">
        <v>46290</v>
      </c>
      <c r="B38" s="30" t="inlineStr">
        <is>
          <t>CDT CASH DEPOSIT</t>
        </is>
      </c>
      <c r="C38" s="30" t="inlineStr">
        <is>
          <t>/</t>
        </is>
      </c>
      <c r="D38" s="30" t="inlineStr">
        <is>
          <t>/</t>
        </is>
      </c>
      <c r="E38" s="30" t="inlineStr">
        <is>
          <t>/</t>
        </is>
      </c>
      <c r="F38" s="72" t="n">
        <v>0</v>
      </c>
      <c r="G38" s="72" t="n">
        <v>1720</v>
      </c>
      <c r="H38" s="72" t="n">
        <v>288314.19</v>
      </c>
    </row>
    <row r="39">
      <c r="A39" s="71" t="n">
        <v>46290</v>
      </c>
      <c r="B39" s="30" t="inlineStr">
        <is>
          <t>RPP INWARD INST TRF</t>
        </is>
      </c>
      <c r="C39" s="30" t="inlineStr">
        <is>
          <t>TOP GLOBAL FOOD AND  /</t>
        </is>
      </c>
      <c r="D39" s="30" t="inlineStr">
        <is>
          <t>/MYCN2609259517721</t>
        </is>
      </c>
      <c r="E39" s="30" t="inlineStr">
        <is>
          <t>/DuitNow (Transfer)</t>
        </is>
      </c>
      <c r="F39" s="72" t="n">
        <v>0</v>
      </c>
      <c r="G39" s="72" t="n">
        <v>160000</v>
      </c>
      <c r="H39" s="72" t="n">
        <v>448314.19</v>
      </c>
    </row>
    <row r="40">
      <c r="A40" s="71" t="n">
        <v>46290</v>
      </c>
      <c r="B40" s="30" t="inlineStr">
        <is>
          <t>REFLEX-BULK IBG CHGS</t>
        </is>
      </c>
      <c r="C40" s="30" t="inlineStr">
        <is>
          <t>/</t>
        </is>
      </c>
      <c r="D40" s="30" t="inlineStr">
        <is>
          <t>/</t>
        </is>
      </c>
      <c r="E40" s="30" t="inlineStr">
        <is>
          <t>/</t>
        </is>
      </c>
      <c r="F40" s="72" t="n">
        <v>0.5</v>
      </c>
      <c r="G40" s="72" t="n">
        <v>0</v>
      </c>
      <c r="H40" s="72" t="n">
        <v>448313.69</v>
      </c>
    </row>
    <row r="41">
      <c r="A41" s="71" t="n">
        <v>46290</v>
      </c>
      <c r="B41" s="30" t="inlineStr">
        <is>
          <t>REFLEX-BULK IBG CHGS</t>
        </is>
      </c>
      <c r="C41" s="30" t="inlineStr">
        <is>
          <t>/</t>
        </is>
      </c>
      <c r="D41" s="30" t="inlineStr">
        <is>
          <t>/</t>
        </is>
      </c>
      <c r="E41" s="30" t="inlineStr">
        <is>
          <t>/</t>
        </is>
      </c>
      <c r="F41" s="72" t="n">
        <v>4.3</v>
      </c>
      <c r="G41" s="72" t="n">
        <v>0</v>
      </c>
      <c r="H41" s="72" t="n">
        <v>448309.39</v>
      </c>
    </row>
    <row r="42">
      <c r="A42" s="71" t="n">
        <v>46290</v>
      </c>
      <c r="B42" s="30" t="inlineStr">
        <is>
          <t>REFLEX-PAYROLL PYMT</t>
        </is>
      </c>
      <c r="C42" s="30" t="inlineStr">
        <is>
          <t>/ 260924630082</t>
        </is>
      </c>
      <c r="D42" s="30" t="inlineStr">
        <is>
          <t>260924630082/</t>
        </is>
      </c>
      <c r="E42" s="30" t="inlineStr">
        <is>
          <t>/5</t>
        </is>
      </c>
      <c r="F42" s="72" t="n">
        <v>173891.75</v>
      </c>
      <c r="G42" s="72" t="n">
        <v>0</v>
      </c>
      <c r="H42" s="72" t="n">
        <v>274417.64</v>
      </c>
    </row>
    <row r="43">
      <c r="A43" s="71" t="n">
        <v>46290</v>
      </c>
      <c r="B43" s="30" t="inlineStr">
        <is>
          <t>REFLEX-PAYROLL PYMT</t>
        </is>
      </c>
      <c r="C43" s="30" t="inlineStr">
        <is>
          <t>/ 260924629184</t>
        </is>
      </c>
      <c r="D43" s="30" t="inlineStr">
        <is>
          <t>260924629184/</t>
        </is>
      </c>
      <c r="E43" s="30" t="inlineStr">
        <is>
          <t>/69</t>
        </is>
      </c>
      <c r="F43" s="72" t="n">
        <v>266036.67</v>
      </c>
      <c r="G43" s="72" t="n">
        <v>0</v>
      </c>
      <c r="H43" s="72" t="n">
        <v>8380.969999999999</v>
      </c>
    </row>
    <row r="44">
      <c r="A44" s="71" t="n">
        <v>46292</v>
      </c>
      <c r="B44" s="30" t="inlineStr">
        <is>
          <t>CASH DEPOSIT</t>
        </is>
      </c>
      <c r="C44" s="30" t="inlineStr">
        <is>
          <t>/</t>
        </is>
      </c>
      <c r="D44" s="30" t="inlineStr">
        <is>
          <t>/</t>
        </is>
      </c>
      <c r="E44" s="30" t="inlineStr">
        <is>
          <t>/</t>
        </is>
      </c>
      <c r="F44" s="72" t="n">
        <v>0</v>
      </c>
      <c r="G44" s="72" t="n">
        <v>2600</v>
      </c>
      <c r="H44" s="72" t="n">
        <v>10980.97</v>
      </c>
    </row>
    <row r="45">
      <c r="A45" s="71" t="n">
        <v>46293</v>
      </c>
      <c r="B45" s="30" t="inlineStr">
        <is>
          <t>CDT CASH DEPOSIT</t>
        </is>
      </c>
      <c r="C45" s="30" t="inlineStr">
        <is>
          <t>/</t>
        </is>
      </c>
      <c r="D45" s="30" t="inlineStr">
        <is>
          <t>/</t>
        </is>
      </c>
      <c r="E45" s="30" t="inlineStr">
        <is>
          <t>/</t>
        </is>
      </c>
      <c r="F45" s="72" t="n">
        <v>0</v>
      </c>
      <c r="G45" s="72" t="n">
        <v>10</v>
      </c>
      <c r="H45" s="72" t="n">
        <v>10990.97</v>
      </c>
    </row>
    <row r="46">
      <c r="A46" s="71" t="n">
        <v>46293</v>
      </c>
      <c r="B46" s="30" t="inlineStr">
        <is>
          <t>CDT CASH DEPOSIT</t>
        </is>
      </c>
      <c r="C46" s="30" t="inlineStr">
        <is>
          <t>/</t>
        </is>
      </c>
      <c r="D46" s="30" t="inlineStr">
        <is>
          <t>/</t>
        </is>
      </c>
      <c r="E46" s="30" t="inlineStr">
        <is>
          <t>/</t>
        </is>
      </c>
      <c r="F46" s="72" t="n">
        <v>0</v>
      </c>
      <c r="G46" s="72" t="n">
        <v>1620</v>
      </c>
      <c r="H46" s="72" t="n">
        <v>12610.97</v>
      </c>
    </row>
    <row r="47">
      <c r="A47" s="71" t="n">
        <v>46293</v>
      </c>
      <c r="B47" s="30" t="inlineStr">
        <is>
          <t>CDT CASH DEPOSIT</t>
        </is>
      </c>
      <c r="C47" s="30" t="inlineStr">
        <is>
          <t>/</t>
        </is>
      </c>
      <c r="D47" s="30" t="inlineStr">
        <is>
          <t>/</t>
        </is>
      </c>
      <c r="E47" s="30" t="inlineStr">
        <is>
          <t>/</t>
        </is>
      </c>
      <c r="F47" s="72" t="n">
        <v>0</v>
      </c>
      <c r="G47" s="72" t="n">
        <v>1830</v>
      </c>
      <c r="H47" s="72" t="n">
        <v>14440.97</v>
      </c>
    </row>
    <row r="48">
      <c r="A48" s="71" t="n">
        <v>46293</v>
      </c>
      <c r="B48" s="30" t="inlineStr">
        <is>
          <t>RFLX-BULK PYMT REJ C</t>
        </is>
      </c>
      <c r="C48" s="30" t="inlineStr">
        <is>
          <t>/</t>
        </is>
      </c>
      <c r="D48" s="30" t="inlineStr">
        <is>
          <t>Payment Not Successf/SALARY SEPT</t>
        </is>
      </c>
      <c r="E48" s="30" t="inlineStr">
        <is>
          <t>XXXXXXXX1836/R22-INVALID INDV ID</t>
        </is>
      </c>
      <c r="F48" s="72" t="n">
        <v>0</v>
      </c>
      <c r="G48" s="72" t="n">
        <v>3600</v>
      </c>
      <c r="H48" s="72" t="n">
        <v>18040.97</v>
      </c>
    </row>
    <row r="49">
      <c r="A49" s="71" t="n">
        <v>46293</v>
      </c>
      <c r="B49" s="30" t="inlineStr">
        <is>
          <t>RFLX INSTANT TRF DR</t>
        </is>
      </c>
      <c r="C49" s="30" t="inlineStr">
        <is>
          <t>/ AHMAD HANIF ALBAB</t>
        </is>
      </c>
      <c r="D49" s="30" t="inlineStr">
        <is>
          <t>260928013896/salary sept</t>
        </is>
      </c>
      <c r="E49" s="30" t="inlineStr">
        <is>
          <t>/</t>
        </is>
      </c>
      <c r="F49" s="72" t="n">
        <v>3600</v>
      </c>
      <c r="G49" s="72" t="n">
        <v>0</v>
      </c>
      <c r="H49" s="72" t="n">
        <v>14440.97</v>
      </c>
    </row>
    <row r="51">
      <c r="A51" s="48" t="inlineStr">
        <is>
          <t>FORECAST 29-30 SEP</t>
        </is>
      </c>
      <c r="B51" s="48" t="str"/>
      <c r="C51" s="48" t="str"/>
      <c r="D51" s="48" t="str"/>
      <c r="E51" s="48" t="str"/>
      <c r="F51" s="48" t="str"/>
      <c r="G51" s="48" t="str"/>
      <c r="H51" s="48" t="str"/>
    </row>
    <row r="52">
      <c r="A52" s="76" t="n">
        <v>46294</v>
      </c>
      <c r="B52" t="inlineStr">
        <is>
          <t>Forecast cash deposits</t>
        </is>
      </c>
      <c r="F52" s="73" t="n">
        <v>0</v>
      </c>
      <c r="G52" s="73" t="n">
        <v>1775.714285714286</v>
      </c>
      <c r="H52" s="73">
        <f>H49+G52-F52</f>
        <v/>
      </c>
    </row>
    <row r="53">
      <c r="A53" s="76" t="n">
        <v>46295</v>
      </c>
      <c r="B53" t="inlineStr">
        <is>
          <t>Forecast cash deposits</t>
        </is>
      </c>
      <c r="F53" s="73" t="n">
        <v>0</v>
      </c>
      <c r="G53" s="73" t="n">
        <v>1775.714285714286</v>
      </c>
      <c r="H53" s="73">
        <f>H52+G53-F53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20" customWidth="1" min="4" max="4"/>
    <col width="18" customWidth="1" min="5" max="5"/>
    <col width="22" customWidth="1" min="6" max="6"/>
    <col width="20" customWidth="1" min="7" max="7"/>
    <col width="24" customWidth="1" min="8" max="8"/>
    <col width="48" customWidth="1" min="9" max="9"/>
  </cols>
  <sheetData>
    <row r="1">
      <c r="A1" s="43" t="inlineStr">
        <is>
          <t>No.</t>
        </is>
      </c>
      <c r="B1" s="43" t="inlineStr">
        <is>
          <t>Project</t>
        </is>
      </c>
      <c r="C1" s="43" t="inlineStr">
        <is>
          <t>Grand Opening</t>
        </is>
      </c>
      <c r="D1" s="43" t="inlineStr">
        <is>
          <t>Capex Assumption (RM)</t>
        </is>
      </c>
      <c r="E1" s="43" t="inlineStr">
        <is>
          <t>Project Cash-Out Date</t>
        </is>
      </c>
      <c r="F1" s="43" t="inlineStr">
        <is>
          <t>Daily New Outlet Sales (RM)</t>
        </is>
      </c>
      <c r="G1" s="43" t="inlineStr">
        <is>
          <t>Incremental Sales Sep-26</t>
        </is>
      </c>
      <c r="H1" s="43" t="inlineStr">
        <is>
          <t>Incremental Sales Oct-Dec 2026</t>
        </is>
      </c>
      <c r="I1" s="43" t="inlineStr">
        <is>
          <t>Notes</t>
        </is>
      </c>
    </row>
    <row r="2">
      <c r="A2" s="30" t="n">
        <v>10</v>
      </c>
      <c r="B2" s="30" t="inlineStr">
        <is>
          <t>PASIR GUDANG</t>
        </is>
      </c>
      <c r="C2" s="71" t="n">
        <v>46295</v>
      </c>
      <c r="D2" s="72" t="n">
        <v>650000</v>
      </c>
      <c r="E2" s="72" t="n">
        <v>46265</v>
      </c>
      <c r="F2" s="72" t="n">
        <v>8000</v>
      </c>
      <c r="G2" s="72" t="n">
        <v>8000</v>
      </c>
      <c r="H2" s="72" t="n">
        <v>736000</v>
      </c>
      <c r="I2" s="30" t="inlineStr">
        <is>
          <t>First 3 projects: RM650k capex/outlet; project cash-out date falls before Q4</t>
        </is>
      </c>
    </row>
    <row r="3">
      <c r="A3" s="30" t="n">
        <v>11</v>
      </c>
      <c r="B3" s="30" t="inlineStr">
        <is>
          <t>CHERAS DWITASIK</t>
        </is>
      </c>
      <c r="C3" s="71" t="n">
        <v>46307</v>
      </c>
      <c r="D3" s="72" t="n">
        <v>650000</v>
      </c>
      <c r="E3" s="72" t="n">
        <v>46277</v>
      </c>
      <c r="F3" s="72" t="n">
        <v>8000</v>
      </c>
      <c r="G3" s="72" t="n">
        <v>0</v>
      </c>
      <c r="H3" s="72" t="n">
        <v>648000</v>
      </c>
      <c r="I3" s="30" t="inlineStr">
        <is>
          <t>First 3 projects: RM650k capex/outlet; project cash-out date falls before Q4</t>
        </is>
      </c>
    </row>
    <row r="4">
      <c r="A4" s="30" t="n">
        <v>12</v>
      </c>
      <c r="B4" s="30" t="inlineStr">
        <is>
          <t>PETALING JAYA</t>
        </is>
      </c>
      <c r="C4" s="71" t="n">
        <v>46322</v>
      </c>
      <c r="D4" s="72" t="n">
        <v>650000</v>
      </c>
      <c r="E4" s="72" t="n">
        <v>46292</v>
      </c>
      <c r="F4" s="72" t="n">
        <v>8000</v>
      </c>
      <c r="G4" s="72" t="n">
        <v>0</v>
      </c>
      <c r="H4" s="72" t="n">
        <v>528000</v>
      </c>
      <c r="I4" s="30" t="inlineStr">
        <is>
          <t>First 3 projects: RM650k capex/outlet; project cash-out date falls before Q4</t>
        </is>
      </c>
    </row>
    <row r="5">
      <c r="A5" s="30" t="n">
        <v>13</v>
      </c>
      <c r="B5" s="30" t="inlineStr">
        <is>
          <t>TAIPAN USJ</t>
        </is>
      </c>
      <c r="C5" s="71" t="n">
        <v>46342</v>
      </c>
      <c r="D5" s="72" t="n">
        <v>450000</v>
      </c>
      <c r="E5" s="72" t="n">
        <v>46312</v>
      </c>
      <c r="F5" s="72" t="n">
        <v>8000</v>
      </c>
      <c r="G5" s="72" t="n">
        <v>0</v>
      </c>
      <c r="H5" s="72" t="n">
        <v>368000</v>
      </c>
      <c r="I5" s="30" t="inlineStr">
        <is>
          <t>Subsequent projects: RM450k capex/outlet</t>
        </is>
      </c>
    </row>
    <row r="6">
      <c r="A6" s="30" t="n">
        <v>14</v>
      </c>
      <c r="B6" s="30" t="inlineStr">
        <is>
          <t>BANGSAR</t>
        </is>
      </c>
      <c r="C6" s="71" t="n">
        <v>46344</v>
      </c>
      <c r="D6" s="72" t="n">
        <v>450000</v>
      </c>
      <c r="E6" s="72" t="n">
        <v>46314</v>
      </c>
      <c r="F6" s="72" t="n">
        <v>8000</v>
      </c>
      <c r="G6" s="72" t="n">
        <v>0</v>
      </c>
      <c r="H6" s="72" t="n">
        <v>352000</v>
      </c>
      <c r="I6" s="30" t="inlineStr">
        <is>
          <t>Subsequent projects: RM450k capex/outlet</t>
        </is>
      </c>
    </row>
    <row r="7">
      <c r="A7" s="30" t="n">
        <v>15</v>
      </c>
      <c r="B7" s="30" t="inlineStr">
        <is>
          <t>MACHANG</t>
        </is>
      </c>
      <c r="C7" s="71" t="n">
        <v>46344</v>
      </c>
      <c r="D7" s="72" t="n">
        <v>450000</v>
      </c>
      <c r="E7" s="72" t="n">
        <v>46314</v>
      </c>
      <c r="F7" s="72" t="n">
        <v>8000</v>
      </c>
      <c r="G7" s="72" t="n">
        <v>0</v>
      </c>
      <c r="H7" s="72" t="n">
        <v>352000</v>
      </c>
      <c r="I7" s="30" t="inlineStr">
        <is>
          <t>Subsequent projects: RM450k capex/outlet</t>
        </is>
      </c>
    </row>
    <row r="8">
      <c r="A8" s="30" t="n">
        <v>16</v>
      </c>
      <c r="B8" s="30" t="inlineStr">
        <is>
          <t>ARAU</t>
        </is>
      </c>
      <c r="C8" s="71" t="n">
        <v>46349</v>
      </c>
      <c r="D8" s="72" t="n">
        <v>450000</v>
      </c>
      <c r="E8" s="72" t="n">
        <v>46319</v>
      </c>
      <c r="F8" s="72" t="n">
        <v>8000</v>
      </c>
      <c r="G8" s="72" t="n">
        <v>0</v>
      </c>
      <c r="H8" s="72" t="n">
        <v>312000</v>
      </c>
      <c r="I8" s="30" t="inlineStr">
        <is>
          <t>Subsequent projects: RM450k capex/outlet</t>
        </is>
      </c>
    </row>
    <row r="9">
      <c r="A9" s="30" t="n">
        <v>17</v>
      </c>
      <c r="B9" s="30" t="inlineStr">
        <is>
          <t>PASIR MAS</t>
        </is>
      </c>
      <c r="C9" s="71" t="n">
        <v>46356</v>
      </c>
      <c r="D9" s="72" t="n">
        <v>450000</v>
      </c>
      <c r="E9" s="72" t="n">
        <v>46326</v>
      </c>
      <c r="F9" s="72" t="n">
        <v>8000</v>
      </c>
      <c r="G9" s="72" t="n">
        <v>0</v>
      </c>
      <c r="H9" s="72" t="n">
        <v>256000</v>
      </c>
      <c r="I9" s="30" t="inlineStr">
        <is>
          <t>Subsequent projects: RM450k capex/outlet</t>
        </is>
      </c>
    </row>
    <row r="10">
      <c r="A10" s="30" t="n">
        <v>18</v>
      </c>
      <c r="B10" s="30" t="inlineStr">
        <is>
          <t>KEMAMAN</t>
        </is>
      </c>
      <c r="C10" s="71" t="n">
        <v>46363</v>
      </c>
      <c r="D10" s="72" t="n">
        <v>450000</v>
      </c>
      <c r="E10" s="72" t="n">
        <v>46333</v>
      </c>
      <c r="F10" s="72" t="n">
        <v>8000</v>
      </c>
      <c r="G10" s="72" t="n">
        <v>0</v>
      </c>
      <c r="H10" s="72" t="n">
        <v>200000</v>
      </c>
      <c r="I10" s="30" t="inlineStr">
        <is>
          <t>Subsequent projects: RM450k capex/outlet</t>
        </is>
      </c>
    </row>
    <row r="11">
      <c r="A11" s="30" t="n">
        <v>19</v>
      </c>
      <c r="B11" s="30" t="inlineStr">
        <is>
          <t>CHANGLUN</t>
        </is>
      </c>
      <c r="C11" s="71" t="n">
        <v>46365</v>
      </c>
      <c r="D11" s="72" t="n">
        <v>450000</v>
      </c>
      <c r="E11" s="72" t="n">
        <v>46335</v>
      </c>
      <c r="F11" s="72" t="n">
        <v>8000</v>
      </c>
      <c r="G11" s="72" t="n">
        <v>0</v>
      </c>
      <c r="H11" s="72" t="n">
        <v>184000</v>
      </c>
      <c r="I11" s="30" t="inlineStr">
        <is>
          <t>Subsequent projects: RM450k capex/outlet</t>
        </is>
      </c>
    </row>
    <row r="12">
      <c r="A12" s="30" t="n">
        <v>20</v>
      </c>
      <c r="B12" s="30" t="inlineStr">
        <is>
          <t>MUAR</t>
        </is>
      </c>
      <c r="C12" s="71" t="n">
        <v>46371</v>
      </c>
      <c r="D12" s="72" t="n">
        <v>450000</v>
      </c>
      <c r="E12" s="72" t="n">
        <v>46341</v>
      </c>
      <c r="F12" s="72" t="n">
        <v>8000</v>
      </c>
      <c r="G12" s="72" t="n">
        <v>0</v>
      </c>
      <c r="H12" s="72" t="n">
        <v>136000</v>
      </c>
      <c r="I12" s="30" t="inlineStr">
        <is>
          <t>Subsequent projects: RM450k capex/outlet</t>
        </is>
      </c>
    </row>
    <row r="13">
      <c r="A13" s="30" t="n">
        <v>21</v>
      </c>
      <c r="B13" s="30" t="inlineStr">
        <is>
          <t>ICOMSRWK</t>
        </is>
      </c>
      <c r="C13" s="71" t="inlineStr">
        <is>
          <t>TBD</t>
        </is>
      </c>
      <c r="D13" s="72" t="n">
        <v>450000</v>
      </c>
      <c r="E13" s="72" t="inlineStr">
        <is>
          <t>TBD</t>
        </is>
      </c>
      <c r="F13" s="72" t="n">
        <v>8000</v>
      </c>
      <c r="G13" s="72" t="n">
        <v>0</v>
      </c>
      <c r="H13" s="72" t="n">
        <v>0</v>
      </c>
      <c r="I13" s="30" t="inlineStr">
        <is>
          <t>GO date TBD; excluded until date confirmed</t>
        </is>
      </c>
    </row>
    <row r="16">
      <c r="A16" s="48" t="inlineStr">
        <is>
          <t>Planning summary</t>
        </is>
      </c>
      <c r="B16" s="48" t="str"/>
      <c r="C16" s="48" t="str"/>
      <c r="D16" s="48" t="str"/>
    </row>
    <row r="17">
      <c r="A17" t="inlineStr">
        <is>
          <t>Current outlet count stated as at 30 Sep 2026</t>
        </is>
      </c>
      <c r="B17" s="73" t="n">
        <v>34</v>
      </c>
    </row>
    <row r="18">
      <c r="A18" t="inlineStr">
        <is>
          <t>New outlet daily sales assumption</t>
        </is>
      </c>
      <c r="B18" s="73" t="n">
        <v>8000</v>
      </c>
      <c r="C18" t="inlineStr">
        <is>
          <t>RM / day</t>
        </is>
      </c>
    </row>
    <row r="19">
      <c r="A19" t="inlineStr">
        <is>
          <t>Sep incremental sales from listed openings</t>
        </is>
      </c>
      <c r="B19" s="73">
        <f>SUM(G2:G13)</f>
        <v/>
      </c>
    </row>
    <row r="20">
      <c r="A20" t="inlineStr">
        <is>
          <t>Oct-Dec incremental sales from listed openings</t>
        </is>
      </c>
      <c r="B20" s="73">
        <f>SUM(H2:H13)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22" customWidth="1" min="4" max="4"/>
    <col width="16" customWidth="1" min="5" max="5"/>
    <col width="70" customWidth="1" min="6" max="6"/>
  </cols>
  <sheetData>
    <row r="1">
      <c r="A1" s="77" t="inlineStr">
        <is>
          <t>TGFB — Q4 2026 Cash Flow Forecast: Assumptions</t>
        </is>
      </c>
      <c r="B1" s="51" t="n"/>
      <c r="C1" s="51" t="n"/>
      <c r="D1" s="51" t="n"/>
      <c r="E1" s="51" t="n"/>
      <c r="F1" s="51" t="n"/>
    </row>
    <row r="2">
      <c r="A2" s="52" t="inlineStr">
        <is>
          <t>Blue = input from user / estimate · Green = link to another sheet · Black = formula · Yellow fill = key estimate to confirm</t>
        </is>
      </c>
      <c r="B2" s="51" t="n"/>
      <c r="C2" s="51" t="n"/>
      <c r="D2" s="51" t="n"/>
      <c r="E2" s="51" t="n"/>
      <c r="F2" s="51" t="n"/>
    </row>
    <row r="3">
      <c r="A3" s="51" t="n"/>
      <c r="B3" s="51" t="n"/>
      <c r="C3" s="51" t="n"/>
      <c r="D3" s="51" t="n"/>
      <c r="E3" s="51" t="n"/>
      <c r="F3" s="51" t="n"/>
    </row>
    <row r="4">
      <c r="A4" s="65" t="inlineStr">
        <is>
          <t>GENERAL</t>
        </is>
      </c>
      <c r="B4" s="66" t="n"/>
      <c r="C4" s="66" t="n"/>
      <c r="D4" s="66" t="n"/>
      <c r="E4" s="66" t="n"/>
      <c r="F4" s="66" t="n"/>
    </row>
    <row r="5">
      <c r="A5" s="57" t="inlineStr">
        <is>
          <t>Forecast start</t>
        </is>
      </c>
      <c r="B5" s="78" t="n">
        <v>46296</v>
      </c>
      <c r="C5" s="51" t="n"/>
      <c r="D5" s="51" t="n"/>
      <c r="E5" s="51" t="n"/>
      <c r="F5" s="52" t="inlineStr">
        <is>
          <t>Day after Sep-30 bridge</t>
        </is>
      </c>
    </row>
    <row r="6">
      <c r="A6" s="57" t="inlineStr">
        <is>
          <t>Forecast end</t>
        </is>
      </c>
      <c r="B6" s="78" t="n">
        <v>46387</v>
      </c>
      <c r="C6" s="51" t="n"/>
      <c r="D6" s="51" t="n"/>
      <c r="E6" s="51" t="n"/>
      <c r="F6" s="52" t="inlineStr">
        <is>
          <t>User item 1: up to 31 Dec</t>
        </is>
      </c>
    </row>
    <row r="7">
      <c r="A7" s="57" t="inlineStr">
        <is>
          <t>Opening Maybank balance (forecast 30 Sep)</t>
        </is>
      </c>
      <c r="B7" s="58">
        <f>'Sep30 Bridge'!G7</f>
        <v/>
      </c>
      <c r="C7" s="51" t="n"/>
      <c r="D7" s="51" t="n"/>
      <c r="E7" s="51" t="n"/>
      <c r="F7" s="52" t="inlineStr">
        <is>
          <t>Sep30 Bridge closing</t>
        </is>
      </c>
    </row>
    <row r="8">
      <c r="A8" s="57" t="inlineStr">
        <is>
          <t>Opening RHB balance (forecast 30 Sep)</t>
        </is>
      </c>
      <c r="B8" s="58">
        <f>'Sep30 Bridge'!G12</f>
        <v/>
      </c>
      <c r="C8" s="51" t="n"/>
      <c r="D8" s="51" t="n"/>
      <c r="E8" s="51" t="n"/>
      <c r="F8" s="52" t="inlineStr">
        <is>
          <t>Sep30 Bridge closing</t>
        </is>
      </c>
    </row>
    <row r="9">
      <c r="A9" s="57" t="inlineStr">
        <is>
          <t>Outlets operating as at 30 Sep (incl. Pasir Gudang)</t>
        </is>
      </c>
      <c r="B9" s="79" t="n">
        <v>34</v>
      </c>
      <c r="C9" s="51" t="n"/>
      <c r="D9" s="51" t="n"/>
      <c r="E9" s="51" t="n"/>
      <c r="F9" s="52" t="inlineStr">
        <is>
          <t>User item 4</t>
        </is>
      </c>
    </row>
    <row r="10">
      <c r="A10" s="57" t="inlineStr">
        <is>
          <t>Fixed deposit</t>
        </is>
      </c>
      <c r="B10" s="80" t="inlineStr">
        <is>
          <t>Excluded</t>
        </is>
      </c>
      <c r="C10" s="51" t="n"/>
      <c r="D10" s="51" t="n"/>
      <c r="E10" s="51" t="n"/>
      <c r="F10" s="52" t="inlineStr">
        <is>
          <t>User item 11: FD matures 2027 (1-yr tenure) — no cash movement in Q4; FD not in bank balances above</t>
        </is>
      </c>
    </row>
    <row r="11">
      <c r="A11" s="51" t="n"/>
      <c r="B11" s="51" t="n"/>
      <c r="C11" s="51" t="n"/>
      <c r="D11" s="51" t="n"/>
      <c r="E11" s="51" t="n"/>
      <c r="F11" s="51" t="n"/>
    </row>
    <row r="12">
      <c r="A12" s="65" t="inlineStr">
        <is>
          <t>NEW OUTLETS</t>
        </is>
      </c>
      <c r="B12" s="66" t="n"/>
      <c r="C12" s="66" t="n"/>
      <c r="D12" s="66" t="n"/>
      <c r="E12" s="66" t="n"/>
      <c r="F12" s="66" t="n"/>
    </row>
    <row r="13">
      <c r="A13" s="57" t="inlineStr">
        <is>
          <t>Sales per new outlet per day (RM)</t>
        </is>
      </c>
      <c r="B13" s="59" t="n">
        <v>8000</v>
      </c>
      <c r="C13" s="51" t="n"/>
      <c r="D13" s="51" t="n"/>
      <c r="E13" s="51" t="n"/>
      <c r="F13" s="52" t="inlineStr">
        <is>
          <t>User item 2</t>
        </is>
      </c>
    </row>
    <row r="14">
      <c r="A14" s="57" t="inlineStr">
        <is>
          <t>Running cost (wages + rental) % of new-outlet sales</t>
        </is>
      </c>
      <c r="B14" s="81" t="n">
        <v>0.15</v>
      </c>
      <c r="C14" s="51" t="n"/>
      <c r="D14" s="51" t="n"/>
      <c r="E14" s="51" t="n"/>
      <c r="F14" s="52" t="inlineStr">
        <is>
          <t>User item 10</t>
        </is>
      </c>
    </row>
    <row r="15">
      <c r="A15" s="57" t="inlineStr">
        <is>
          <t>Capex paid N days before grand opening</t>
        </is>
      </c>
      <c r="B15" s="79" t="n">
        <v>45</v>
      </c>
      <c r="C15" s="51" t="n"/>
      <c r="D15" s="51" t="n"/>
      <c r="E15" s="51" t="n"/>
      <c r="F15" s="52" t="inlineStr">
        <is>
          <t>User item 6. Paid as a lump sum on GO-45; if that date is before 1 Oct, the balance is paid on 1 Oct</t>
        </is>
      </c>
    </row>
    <row r="16">
      <c r="A16" s="57" t="inlineStr">
        <is>
          <t>Capex — first 3 outlets (RM/outlet)</t>
        </is>
      </c>
      <c r="B16" s="59" t="n">
        <v>650000</v>
      </c>
      <c r="C16" s="51" t="n"/>
      <c r="D16" s="51" t="n"/>
      <c r="E16" s="51" t="n"/>
      <c r="F16" s="52" t="inlineStr">
        <is>
          <t>User item 5 (Pasir Gudang, Cheras, Petaling Jaya)</t>
        </is>
      </c>
    </row>
    <row r="17">
      <c r="A17" s="57" t="inlineStr">
        <is>
          <t>Capex — subsequent outlets (RM/outlet)</t>
        </is>
      </c>
      <c r="B17" s="59" t="n">
        <v>450000</v>
      </c>
      <c r="C17" s="51" t="n"/>
      <c r="D17" s="51" t="n"/>
      <c r="E17" s="51" t="n"/>
      <c r="F17" s="52" t="inlineStr">
        <is>
          <t>User item 6</t>
        </is>
      </c>
    </row>
    <row r="18">
      <c r="A18" s="57" t="inlineStr">
        <is>
          <t>Capex already paid — Pasir Gudang</t>
        </is>
      </c>
      <c r="B18" s="82" t="n">
        <v>650000</v>
      </c>
      <c r="C18" s="51" t="n"/>
      <c r="D18" s="51" t="n"/>
      <c r="E18" s="51" t="n"/>
      <c r="F18" s="52" t="inlineStr">
        <is>
          <t>ASSUMPTION: Pasir Gudang (opened 30 Sep) fully paid by 30 Sep — user item 9 says Sep capex was mostly Pasir Gudang</t>
        </is>
      </c>
    </row>
    <row r="19">
      <c r="A19" s="57" t="inlineStr">
        <is>
          <t>Capex already paid — Cheras Dwitasik</t>
        </is>
      </c>
      <c r="B19" s="59" t="n">
        <v>91500</v>
      </c>
      <c r="C19" s="51" t="n"/>
      <c r="D19" s="51" t="n"/>
      <c r="E19" s="51" t="n"/>
      <c r="F19" s="52" t="inlineStr">
        <is>
          <t>User item 9</t>
        </is>
      </c>
    </row>
    <row r="20">
      <c r="A20" s="57" t="inlineStr">
        <is>
          <t>Capex already paid — Petaling Jaya</t>
        </is>
      </c>
      <c r="B20" s="59" t="n">
        <v>122330.7</v>
      </c>
      <c r="C20" s="51" t="n"/>
      <c r="D20" s="51" t="n"/>
      <c r="E20" s="51" t="n"/>
      <c r="F20" s="52" t="inlineStr">
        <is>
          <t>User item 9 (AHRA Interior 1st payment, 29 Sep)</t>
        </is>
      </c>
    </row>
    <row r="21">
      <c r="A21" s="57" t="inlineStr">
        <is>
          <t>Deposit per new outlet — 5 outlets Oct–Nov (RM)</t>
        </is>
      </c>
      <c r="B21" s="82" t="n">
        <v>30000</v>
      </c>
      <c r="C21" s="51" t="n"/>
      <c r="D21" s="51" t="n"/>
      <c r="E21" s="51" t="n"/>
      <c r="F21" s="52" t="inlineStr">
        <is>
          <t>ASSUMPTION: amount not given (user item 14) — placeholder, please confirm</t>
        </is>
      </c>
    </row>
    <row r="22">
      <c r="A22" s="51" t="n"/>
      <c r="B22" s="51" t="n"/>
      <c r="C22" s="51" t="n"/>
      <c r="D22" s="51" t="n"/>
      <c r="E22" s="51" t="n"/>
      <c r="F22" s="51" t="n"/>
    </row>
    <row r="23">
      <c r="A23" s="65" t="inlineStr">
        <is>
          <t>EXISTING 34 OUTLETS — SEPTEMBER RUN-RATE (MAYBANK)</t>
        </is>
      </c>
      <c r="B23" s="66" t="n"/>
      <c r="C23" s="66" t="n"/>
      <c r="D23" s="66" t="n"/>
      <c r="E23" s="66" t="n"/>
      <c r="F23" s="66" t="n"/>
    </row>
    <row r="24">
      <c r="A24" s="57" t="inlineStr">
        <is>
          <t>Maybank total cash in, Sep</t>
        </is>
      </c>
      <c r="B24" s="58">
        <f>'Sep30 Bridge'!D8</f>
        <v/>
      </c>
      <c r="C24" s="51" t="n"/>
      <c r="D24" s="51" t="n"/>
      <c r="E24" s="51" t="n"/>
      <c r="F24" s="52" t="inlineStr">
        <is>
          <t>Sep30 Bridge</t>
        </is>
      </c>
    </row>
    <row r="25">
      <c r="A25" s="57" t="inlineStr">
        <is>
          <t>Less: Pasir Gudang opening-day sales (modelled as new outlet)</t>
        </is>
      </c>
      <c r="B25" s="58">
        <f>'Sep30 Bridge'!B25</f>
        <v/>
      </c>
      <c r="C25" s="51" t="n"/>
      <c r="D25" s="51" t="n"/>
      <c r="E25" s="51" t="n"/>
      <c r="F25" s="52" t="inlineStr">
        <is>
          <t>Sep30 Bridge</t>
        </is>
      </c>
    </row>
    <row r="26">
      <c r="A26" s="57" t="inlineStr">
        <is>
          <t>Days in September</t>
        </is>
      </c>
      <c r="B26" s="79" t="n">
        <v>30</v>
      </c>
      <c r="C26" s="51" t="n"/>
      <c r="D26" s="51" t="n"/>
      <c r="E26" s="51" t="n"/>
      <c r="F26" s="51" t="n"/>
    </row>
    <row r="27">
      <c r="A27" s="57" t="inlineStr">
        <is>
          <t>Existing-outlet cash in per day</t>
        </is>
      </c>
      <c r="B27" s="60">
        <f>(B24-B25)/B26</f>
        <v/>
      </c>
      <c r="C27" s="51" t="n"/>
      <c r="D27" s="51" t="n"/>
      <c r="E27" s="51" t="n"/>
      <c r="F27" s="52" t="inlineStr">
        <is>
          <t>Applied to every day Oct–Dec</t>
        </is>
      </c>
    </row>
    <row r="28">
      <c r="A28" s="57" t="inlineStr">
        <is>
          <t>Maybank total cash out, Sep</t>
        </is>
      </c>
      <c r="B28" s="58">
        <f>'Sep30 Bridge'!E8</f>
        <v/>
      </c>
      <c r="C28" s="51" t="n"/>
      <c r="D28" s="51" t="n"/>
      <c r="E28" s="51" t="n"/>
      <c r="F28" s="52" t="inlineStr">
        <is>
          <t>Sep30 Bridge</t>
        </is>
      </c>
    </row>
    <row r="29">
      <c r="A29" s="57" t="inlineStr">
        <is>
          <t>Less: SST Jul–Aug (bi-monthly, modelled separately)</t>
        </is>
      </c>
      <c r="B29" s="58">
        <f>'Remaining Payments'!E30</f>
        <v/>
      </c>
      <c r="C29" s="51" t="n"/>
      <c r="D29" s="51" t="n"/>
      <c r="E29" s="51" t="n"/>
      <c r="F29" s="52" t="inlineStr">
        <is>
          <t>Remaining Payments row 30</t>
        </is>
      </c>
    </row>
    <row r="30">
      <c r="A30" s="57" t="inlineStr">
        <is>
          <t>Less: Sep capex — Pasir Gudang (one-off)</t>
        </is>
      </c>
      <c r="B30" s="60">
        <f>B18</f>
        <v/>
      </c>
      <c r="C30" s="51" t="n"/>
      <c r="D30" s="51" t="n"/>
      <c r="E30" s="51" t="n"/>
      <c r="F30" s="52" t="inlineStr">
        <is>
          <t>Same as B18</t>
        </is>
      </c>
    </row>
    <row r="31">
      <c r="A31" s="57" t="inlineStr">
        <is>
          <t>Less: Sep capex — Cheras + Petaling Jaya (one-off)</t>
        </is>
      </c>
      <c r="B31" s="60">
        <f>B19+B20</f>
        <v/>
      </c>
      <c r="C31" s="51" t="n"/>
      <c r="D31" s="51" t="n"/>
      <c r="E31" s="51" t="n"/>
      <c r="F31" s="51" t="n"/>
    </row>
    <row r="32">
      <c r="A32" s="57" t="inlineStr">
        <is>
          <t>Less: transfer to RHB for payroll, 25 Sep</t>
        </is>
      </c>
      <c r="B32" s="58">
        <f>'RHB Sep Transactions'!G39</f>
        <v/>
      </c>
      <c r="C32" s="51" t="n"/>
      <c r="D32" s="51" t="n"/>
      <c r="E32" s="51" t="n"/>
      <c r="F32" s="52" t="inlineStr">
        <is>
          <t>Payroll now modelled in the RHB section</t>
        </is>
      </c>
    </row>
    <row r="33">
      <c r="A33" s="57" t="inlineStr">
        <is>
          <t>Existing-outlet operating cash out per day</t>
        </is>
      </c>
      <c r="B33" s="60">
        <f>(B28-B29-B30-B31-B32)/B26</f>
        <v/>
      </c>
      <c r="C33" s="51" t="n"/>
      <c r="D33" s="51" t="n"/>
      <c r="E33" s="51" t="n"/>
      <c r="F33" s="52" t="inlineStr">
        <is>
          <t>Applied to every day Oct–Dec</t>
        </is>
      </c>
    </row>
    <row r="34">
      <c r="A34" s="51" t="n"/>
      <c r="B34" s="51" t="n"/>
      <c r="C34" s="51" t="n"/>
      <c r="D34" s="51" t="n"/>
      <c r="E34" s="51" t="n"/>
      <c r="F34" s="51" t="n"/>
    </row>
    <row r="35">
      <c r="A35" s="65" t="inlineStr">
        <is>
          <t>RHB</t>
        </is>
      </c>
      <c r="B35" s="66" t="n"/>
      <c r="C35" s="66" t="n"/>
      <c r="D35" s="66" t="n"/>
      <c r="E35" s="66" t="n"/>
      <c r="F35" s="66" t="n"/>
    </row>
    <row r="36">
      <c r="A36" s="57" t="inlineStr">
        <is>
          <t>Cash deposits per day</t>
        </is>
      </c>
      <c r="B36" s="58">
        <f>'Sep30 Bridge'!D11</f>
        <v/>
      </c>
      <c r="C36" s="51" t="n"/>
      <c r="D36" s="51" t="n"/>
      <c r="E36" s="51" t="n"/>
      <c r="F36" s="52" t="inlineStr">
        <is>
          <t>Sep30 Bridge (average daily cash deposit)</t>
        </is>
      </c>
    </row>
    <row r="37">
      <c r="A37" s="57" t="inlineStr">
        <is>
          <t>Monthly payroll paid from RHB (25th)</t>
        </is>
      </c>
      <c r="B37" s="58">
        <f>'RHB Sep Transactions'!F42+'RHB Sep Transactions'!F43</f>
        <v/>
      </c>
      <c r="C37" s="51" t="n"/>
      <c r="D37" s="51" t="n"/>
      <c r="E37" s="51" t="n"/>
      <c r="F37" s="52" t="inlineStr">
        <is>
          <t>Sep payroll batches 25 Sep</t>
        </is>
      </c>
    </row>
    <row r="38">
      <c r="A38" s="57" t="inlineStr">
        <is>
          <t>Minimum RHB balance before Maybank tops up</t>
        </is>
      </c>
      <c r="B38" s="59" t="n">
        <v>20000</v>
      </c>
      <c r="C38" s="51" t="n"/>
      <c r="D38" s="51" t="n"/>
      <c r="E38" s="51" t="n"/>
      <c r="F38" s="52" t="inlineStr">
        <is>
          <t>Maybank transfers only what RHB needs to cover payroll/bonus (as done on 25 Sep)</t>
        </is>
      </c>
    </row>
    <row r="39">
      <c r="A39" s="51" t="n"/>
      <c r="B39" s="51" t="n"/>
      <c r="C39" s="51" t="n"/>
      <c r="D39" s="51" t="n"/>
      <c r="E39" s="51" t="n"/>
      <c r="F39" s="51" t="n"/>
    </row>
    <row r="40">
      <c r="A40" s="65" t="inlineStr">
        <is>
          <t>DATED CASH EVENTS (edit dates/amounts here)</t>
        </is>
      </c>
      <c r="B40" s="66" t="n"/>
      <c r="C40" s="66" t="n"/>
      <c r="D40" s="66" t="n"/>
      <c r="E40" s="66" t="n"/>
      <c r="F40" s="66" t="n"/>
    </row>
    <row r="41">
      <c r="A41" s="54" t="inlineStr">
        <is>
          <t>Description</t>
        </is>
      </c>
      <c r="B41" s="54" t="inlineStr">
        <is>
          <t>Date</t>
        </is>
      </c>
      <c r="C41" s="54" t="inlineStr">
        <is>
          <t>Amount (RM)</t>
        </is>
      </c>
      <c r="D41" s="54" t="inlineStr">
        <is>
          <t>Category</t>
        </is>
      </c>
      <c r="E41" s="54" t="inlineStr">
        <is>
          <t>Bank</t>
        </is>
      </c>
      <c r="F41" s="54" t="inlineStr">
        <is>
          <t>Source / note</t>
        </is>
      </c>
    </row>
    <row r="42">
      <c r="A42" s="57" t="inlineStr">
        <is>
          <t>Licensing package — Petaling Jaya balance (invoice 655k less 400k received)</t>
        </is>
      </c>
      <c r="B42" s="78" t="n">
        <v>46310</v>
      </c>
      <c r="C42" s="60">
        <f>655000-400000</f>
        <v/>
      </c>
      <c r="D42" s="80" t="inlineStr">
        <is>
          <t>Licensing</t>
        </is>
      </c>
      <c r="E42" s="80" t="inlineStr">
        <is>
          <t>RHB</t>
        </is>
      </c>
      <c r="F42" s="52" t="inlineStr">
        <is>
          <t>User items 12 &amp; 13; RHB as the 23 Sep PJ licensing receipt. Date assumed mid-Oct</t>
        </is>
      </c>
    </row>
    <row r="43">
      <c r="A43" s="57" t="inlineStr">
        <is>
          <t>Investor fund #1</t>
        </is>
      </c>
      <c r="B43" s="78" t="n">
        <v>46310</v>
      </c>
      <c r="C43" s="59" t="n">
        <v>450000</v>
      </c>
      <c r="D43" s="80" t="inlineStr">
        <is>
          <t>Investor</t>
        </is>
      </c>
      <c r="E43" s="80" t="inlineStr">
        <is>
          <t>Maybank</t>
        </is>
      </c>
      <c r="F43" s="52" t="inlineStr">
        <is>
          <t>User item 12. Date assumed mid-Oct</t>
        </is>
      </c>
    </row>
    <row r="44">
      <c r="A44" s="57" t="inlineStr">
        <is>
          <t>Investor fund #2</t>
        </is>
      </c>
      <c r="B44" s="78" t="n">
        <v>46310</v>
      </c>
      <c r="C44" s="59" t="n">
        <v>200000</v>
      </c>
      <c r="D44" s="80" t="inlineStr">
        <is>
          <t>Investor</t>
        </is>
      </c>
      <c r="E44" s="80" t="inlineStr">
        <is>
          <t>Maybank</t>
        </is>
      </c>
      <c r="F44" s="52" t="inlineStr">
        <is>
          <t>User item 12. Date assumed mid-Oct</t>
        </is>
      </c>
    </row>
    <row r="45">
      <c r="A45" s="57" t="inlineStr">
        <is>
          <t>Foreign worker expense</t>
        </is>
      </c>
      <c r="B45" s="78" t="n">
        <v>46310</v>
      </c>
      <c r="C45" s="59" t="n">
        <v>920000</v>
      </c>
      <c r="D45" s="80" t="inlineStr">
        <is>
          <t>Foreign worker</t>
        </is>
      </c>
      <c r="E45" s="80" t="inlineStr">
        <is>
          <t>Maybank</t>
        </is>
      </c>
      <c r="F45" s="52" t="inlineStr">
        <is>
          <t>User item 7</t>
        </is>
      </c>
    </row>
    <row r="46">
      <c r="A46" s="57" t="inlineStr">
        <is>
          <t>Investment — Bebeks</t>
        </is>
      </c>
      <c r="B46" s="78" t="n">
        <v>46310</v>
      </c>
      <c r="C46" s="59" t="n">
        <v>350000</v>
      </c>
      <c r="D46" s="80" t="inlineStr">
        <is>
          <t>Bebeks</t>
        </is>
      </c>
      <c r="E46" s="80" t="inlineStr">
        <is>
          <t>Maybank</t>
        </is>
      </c>
      <c r="F46" s="52" t="inlineStr">
        <is>
          <t>User item 15. Date assumed mid-Oct</t>
        </is>
      </c>
    </row>
    <row r="47">
      <c r="A47" s="57" t="inlineStr">
        <is>
          <t>Deposit — new outlet 1</t>
        </is>
      </c>
      <c r="B47" s="78" t="n">
        <v>46304</v>
      </c>
      <c r="C47" s="60">
        <f>$B$21</f>
        <v/>
      </c>
      <c r="D47" s="80" t="inlineStr">
        <is>
          <t>Deposit</t>
        </is>
      </c>
      <c r="E47" s="80" t="inlineStr">
        <is>
          <t>Maybank</t>
        </is>
      </c>
      <c r="F47" s="52" t="inlineStr">
        <is>
          <t>User item 14. Dates spread over Oct–Nov</t>
        </is>
      </c>
    </row>
    <row r="48">
      <c r="A48" s="57" t="inlineStr">
        <is>
          <t>Deposit — new outlet 2</t>
        </is>
      </c>
      <c r="B48" s="78" t="n">
        <v>46318</v>
      </c>
      <c r="C48" s="60">
        <f>$B$21</f>
        <v/>
      </c>
      <c r="D48" s="80" t="inlineStr">
        <is>
          <t>Deposit</t>
        </is>
      </c>
      <c r="E48" s="80" t="inlineStr">
        <is>
          <t>Maybank</t>
        </is>
      </c>
      <c r="F48" s="52" t="inlineStr"/>
    </row>
    <row r="49">
      <c r="A49" s="57" t="inlineStr">
        <is>
          <t>Deposit — new outlet 3</t>
        </is>
      </c>
      <c r="B49" s="78" t="n">
        <v>46332</v>
      </c>
      <c r="C49" s="60">
        <f>$B$21</f>
        <v/>
      </c>
      <c r="D49" s="80" t="inlineStr">
        <is>
          <t>Deposit</t>
        </is>
      </c>
      <c r="E49" s="80" t="inlineStr">
        <is>
          <t>Maybank</t>
        </is>
      </c>
      <c r="F49" s="52" t="inlineStr"/>
    </row>
    <row r="50">
      <c r="A50" s="57" t="inlineStr">
        <is>
          <t>Deposit — new outlet 4</t>
        </is>
      </c>
      <c r="B50" s="78" t="n">
        <v>46342</v>
      </c>
      <c r="C50" s="60">
        <f>$B$21</f>
        <v/>
      </c>
      <c r="D50" s="80" t="inlineStr">
        <is>
          <t>Deposit</t>
        </is>
      </c>
      <c r="E50" s="80" t="inlineStr">
        <is>
          <t>Maybank</t>
        </is>
      </c>
      <c r="F50" s="52" t="inlineStr"/>
    </row>
    <row r="51">
      <c r="A51" s="57" t="inlineStr">
        <is>
          <t>Deposit — new outlet 5</t>
        </is>
      </c>
      <c r="B51" s="78" t="n">
        <v>46353</v>
      </c>
      <c r="C51" s="60">
        <f>$B$21</f>
        <v/>
      </c>
      <c r="D51" s="80" t="inlineStr">
        <is>
          <t>Deposit</t>
        </is>
      </c>
      <c r="E51" s="80" t="inlineStr">
        <is>
          <t>Maybank</t>
        </is>
      </c>
      <c r="F51" s="52" t="inlineStr"/>
    </row>
    <row r="52">
      <c r="A52" s="57" t="inlineStr">
        <is>
          <t>Payroll — October</t>
        </is>
      </c>
      <c r="B52" s="78" t="n">
        <v>46320</v>
      </c>
      <c r="C52" s="60">
        <f>$B$37</f>
        <v/>
      </c>
      <c r="D52" s="80" t="inlineStr">
        <is>
          <t>Payroll</t>
        </is>
      </c>
      <c r="E52" s="80" t="inlineStr">
        <is>
          <t>RHB</t>
        </is>
      </c>
      <c r="F52" s="52" t="inlineStr">
        <is>
          <t>Sep RHB payroll repeated monthly</t>
        </is>
      </c>
    </row>
    <row r="53">
      <c r="A53" s="57" t="inlineStr">
        <is>
          <t>Payroll — November</t>
        </is>
      </c>
      <c r="B53" s="78" t="n">
        <v>46351</v>
      </c>
      <c r="C53" s="60">
        <f>$B$37</f>
        <v/>
      </c>
      <c r="D53" s="80" t="inlineStr">
        <is>
          <t>Payroll</t>
        </is>
      </c>
      <c r="E53" s="80" t="inlineStr">
        <is>
          <t>RHB</t>
        </is>
      </c>
      <c r="F53" s="52" t="inlineStr"/>
    </row>
    <row r="54">
      <c r="A54" s="57" t="inlineStr">
        <is>
          <t>Payroll — December</t>
        </is>
      </c>
      <c r="B54" s="78" t="n">
        <v>46380</v>
      </c>
      <c r="C54" s="60">
        <f>$B$37</f>
        <v/>
      </c>
      <c r="D54" s="80" t="inlineStr">
        <is>
          <t>Payroll</t>
        </is>
      </c>
      <c r="E54" s="80" t="inlineStr">
        <is>
          <t>RHB</t>
        </is>
      </c>
      <c r="F54" s="52" t="inlineStr">
        <is>
          <t>Paid 24 Dec (25 Dec public holiday)</t>
        </is>
      </c>
    </row>
    <row r="55">
      <c r="A55" s="57" t="inlineStr">
        <is>
          <t>SST Sep–Oct 2026 (due end of following month)</t>
        </is>
      </c>
      <c r="B55" s="78" t="n">
        <v>46356</v>
      </c>
      <c r="C55" s="83">
        <f>'Remaining Payments'!E30</f>
        <v/>
      </c>
      <c r="D55" s="80" t="inlineStr">
        <is>
          <t>SST</t>
        </is>
      </c>
      <c r="E55" s="80" t="inlineStr">
        <is>
          <t>Maybank</t>
        </is>
      </c>
      <c r="F55" s="52" t="inlineStr">
        <is>
          <t>ASSUMPTION: not in user list — SST is bi-monthly; Jul–Aug SST of this amount was paid 30 Sep, so Sep–Oct falls due 30 Nov</t>
        </is>
      </c>
    </row>
    <row r="56">
      <c r="A56" s="57" t="inlineStr">
        <is>
          <t>Foreign worker expense</t>
        </is>
      </c>
      <c r="B56" s="78" t="n">
        <v>46371</v>
      </c>
      <c r="C56" s="59" t="n">
        <v>200000</v>
      </c>
      <c r="D56" s="80" t="inlineStr">
        <is>
          <t>Foreign worker</t>
        </is>
      </c>
      <c r="E56" s="80" t="inlineStr">
        <is>
          <t>Maybank</t>
        </is>
      </c>
      <c r="F56" s="52" t="inlineStr">
        <is>
          <t>User item 7</t>
        </is>
      </c>
    </row>
    <row r="57">
      <c r="A57" s="57" t="inlineStr">
        <is>
          <t>Staff bonus</t>
        </is>
      </c>
      <c r="B57" s="78" t="n">
        <v>46387</v>
      </c>
      <c r="C57" s="59" t="n">
        <v>300000</v>
      </c>
      <c r="D57" s="80" t="inlineStr">
        <is>
          <t>Bonus</t>
        </is>
      </c>
      <c r="E57" s="80" t="inlineStr">
        <is>
          <t>RHB</t>
        </is>
      </c>
      <c r="F57" s="52" t="inlineStr">
        <is>
          <t>User item 8; paid with payroll from RHB</t>
        </is>
      </c>
    </row>
    <row r="58">
      <c r="A58" s="57" t="inlineStr">
        <is>
          <t>Investment — Kopitiam</t>
        </is>
      </c>
      <c r="B58" s="78" t="n">
        <v>46387</v>
      </c>
      <c r="C58" s="59" t="n">
        <v>350000</v>
      </c>
      <c r="D58" s="80" t="inlineStr">
        <is>
          <t>Kopitiam</t>
        </is>
      </c>
      <c r="E58" s="80" t="inlineStr">
        <is>
          <t>Maybank</t>
        </is>
      </c>
      <c r="F58" s="52" t="inlineStr">
        <is>
          <t>User item 16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77" t="inlineStr">
        <is>
          <t>New Outlet Schedule — sales and capex timing (Q4 2026)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</row>
    <row r="2">
      <c r="A2" s="52" t="inlineStr">
        <is>
          <t>Sales = RM/day × days open in the week (from grand-opening day). Capex balance paid on GO − lead days (not earlier than 1 Oct). ICOMSRWK excluded until GO date confirmed.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84">
        <f>'Q4 Weekly Cash Flow'!C5</f>
        <v/>
      </c>
      <c r="J3" s="84">
        <f>'Q4 Weekly Cash Flow'!D5</f>
        <v/>
      </c>
      <c r="K3" s="84">
        <f>'Q4 Weekly Cash Flow'!E5</f>
        <v/>
      </c>
      <c r="L3" s="84">
        <f>'Q4 Weekly Cash Flow'!F5</f>
        <v/>
      </c>
      <c r="M3" s="84">
        <f>'Q4 Weekly Cash Flow'!G5</f>
        <v/>
      </c>
      <c r="N3" s="84">
        <f>'Q4 Weekly Cash Flow'!H5</f>
        <v/>
      </c>
      <c r="O3" s="84">
        <f>'Q4 Weekly Cash Flow'!I5</f>
        <v/>
      </c>
      <c r="P3" s="84">
        <f>'Q4 Weekly Cash Flow'!J5</f>
        <v/>
      </c>
      <c r="Q3" s="84">
        <f>'Q4 Weekly Cash Flow'!K5</f>
        <v/>
      </c>
      <c r="R3" s="84">
        <f>'Q4 Weekly Cash Flow'!L5</f>
        <v/>
      </c>
      <c r="S3" s="84">
        <f>'Q4 Weekly Cash Flow'!M5</f>
        <v/>
      </c>
      <c r="T3" s="84">
        <f>'Q4 Weekly Cash Flow'!N5</f>
        <v/>
      </c>
      <c r="U3" s="84">
        <f>'Q4 Weekly Cash Flow'!O5</f>
        <v/>
      </c>
      <c r="V3" s="84">
        <f>'Q4 Weekly Cash Flow'!P5</f>
        <v/>
      </c>
      <c r="W3" s="51" t="n"/>
    </row>
    <row r="4">
      <c r="A4" s="51" t="n"/>
      <c r="B4" s="51" t="n"/>
      <c r="C4" s="51" t="n"/>
      <c r="D4" s="51" t="n"/>
      <c r="E4" s="51" t="n"/>
      <c r="F4" s="51" t="n"/>
      <c r="G4" s="51" t="n"/>
      <c r="H4" s="51" t="n"/>
      <c r="I4" s="84">
        <f>'Q4 Weekly Cash Flow'!C6</f>
        <v/>
      </c>
      <c r="J4" s="84">
        <f>'Q4 Weekly Cash Flow'!D6</f>
        <v/>
      </c>
      <c r="K4" s="84">
        <f>'Q4 Weekly Cash Flow'!E6</f>
        <v/>
      </c>
      <c r="L4" s="84">
        <f>'Q4 Weekly Cash Flow'!F6</f>
        <v/>
      </c>
      <c r="M4" s="84">
        <f>'Q4 Weekly Cash Flow'!G6</f>
        <v/>
      </c>
      <c r="N4" s="84">
        <f>'Q4 Weekly Cash Flow'!H6</f>
        <v/>
      </c>
      <c r="O4" s="84">
        <f>'Q4 Weekly Cash Flow'!I6</f>
        <v/>
      </c>
      <c r="P4" s="84">
        <f>'Q4 Weekly Cash Flow'!J6</f>
        <v/>
      </c>
      <c r="Q4" s="84">
        <f>'Q4 Weekly Cash Flow'!K6</f>
        <v/>
      </c>
      <c r="R4" s="84">
        <f>'Q4 Weekly Cash Flow'!L6</f>
        <v/>
      </c>
      <c r="S4" s="84">
        <f>'Q4 Weekly Cash Flow'!M6</f>
        <v/>
      </c>
      <c r="T4" s="84">
        <f>'Q4 Weekly Cash Flow'!N6</f>
        <v/>
      </c>
      <c r="U4" s="84">
        <f>'Q4 Weekly Cash Flow'!O6</f>
        <v/>
      </c>
      <c r="V4" s="84">
        <f>'Q4 Weekly Cash Flow'!P6</f>
        <v/>
      </c>
      <c r="W4" s="51" t="n"/>
    </row>
    <row r="5">
      <c r="A5" s="54" t="inlineStr">
        <is>
          <t>No.</t>
        </is>
      </c>
      <c r="B5" s="54" t="inlineStr">
        <is>
          <t>Project</t>
        </is>
      </c>
      <c r="C5" s="54" t="inlineStr">
        <is>
          <t>Grand Opening</t>
        </is>
      </c>
      <c r="D5" s="54" t="inlineStr">
        <is>
          <t>Capex (RM)</t>
        </is>
      </c>
      <c r="E5" s="54" t="inlineStr">
        <is>
          <t>Paid to 30 Sep</t>
        </is>
      </c>
      <c r="F5" s="54" t="inlineStr">
        <is>
          <t>Capex balance</t>
        </is>
      </c>
      <c r="G5" s="54" t="inlineStr">
        <is>
          <t>Capex pay date</t>
        </is>
      </c>
      <c r="H5" s="54" t="inlineStr">
        <is>
          <t>Sales/day</t>
        </is>
      </c>
      <c r="I5" s="54" t="inlineStr">
        <is>
          <t>Wk 1</t>
        </is>
      </c>
      <c r="J5" s="54" t="inlineStr">
        <is>
          <t>Wk 2</t>
        </is>
      </c>
      <c r="K5" s="54" t="inlineStr">
        <is>
          <t>Wk 3</t>
        </is>
      </c>
      <c r="L5" s="54" t="inlineStr">
        <is>
          <t>Wk 4</t>
        </is>
      </c>
      <c r="M5" s="54" t="inlineStr">
        <is>
          <t>Wk 5</t>
        </is>
      </c>
      <c r="N5" s="54" t="inlineStr">
        <is>
          <t>Wk 6</t>
        </is>
      </c>
      <c r="O5" s="54" t="inlineStr">
        <is>
          <t>Wk 7</t>
        </is>
      </c>
      <c r="P5" s="54" t="inlineStr">
        <is>
          <t>Wk 8</t>
        </is>
      </c>
      <c r="Q5" s="54" t="inlineStr">
        <is>
          <t>Wk 9</t>
        </is>
      </c>
      <c r="R5" s="54" t="inlineStr">
        <is>
          <t>Wk 10</t>
        </is>
      </c>
      <c r="S5" s="54" t="inlineStr">
        <is>
          <t>Wk 11</t>
        </is>
      </c>
      <c r="T5" s="54" t="inlineStr">
        <is>
          <t>Wk 12</t>
        </is>
      </c>
      <c r="U5" s="54" t="inlineStr">
        <is>
          <t>Wk 13</t>
        </is>
      </c>
      <c r="V5" s="54" t="inlineStr">
        <is>
          <t>Wk 14</t>
        </is>
      </c>
      <c r="W5" s="54" t="inlineStr">
        <is>
          <t>Q4 sales</t>
        </is>
      </c>
    </row>
    <row r="6">
      <c r="A6" s="68">
        <f>'Outlet Plan'!A2</f>
        <v/>
      </c>
      <c r="B6" s="85">
        <f>'Outlet Plan'!B2</f>
        <v/>
      </c>
      <c r="C6" s="84">
        <f>'Outlet Plan'!C2</f>
        <v/>
      </c>
      <c r="D6" s="60">
        <f>IF(ROW()&lt;=8,'Q4 Assumptions'!$B$16,'Q4 Assumptions'!$B$17)</f>
        <v/>
      </c>
      <c r="E6" s="58">
        <f>'Q4 Assumptions'!$B$18</f>
        <v/>
      </c>
      <c r="F6" s="60">
        <f>IF(ISNUMBER(C6),D6-E6,0)</f>
        <v/>
      </c>
      <c r="G6" s="67">
        <f>IF(ISNUMBER(C6),MAX(C6-'Q4 Assumptions'!$B$15,'Q4 Assumptions'!$B$5),"TBD")</f>
        <v/>
      </c>
      <c r="H6" s="58">
        <f>'Q4 Assumptions'!$B$13</f>
        <v/>
      </c>
      <c r="I6" s="60">
        <f>IF(ISNUMBER($C6),MAX(0,I$4-MAX(I$3,$C6)+1)*$H6,0)</f>
        <v/>
      </c>
      <c r="J6" s="60">
        <f>IF(ISNUMBER($C6),MAX(0,J$4-MAX(J$3,$C6)+1)*$H6,0)</f>
        <v/>
      </c>
      <c r="K6" s="60">
        <f>IF(ISNUMBER($C6),MAX(0,K$4-MAX(K$3,$C6)+1)*$H6,0)</f>
        <v/>
      </c>
      <c r="L6" s="60">
        <f>IF(ISNUMBER($C6),MAX(0,L$4-MAX(L$3,$C6)+1)*$H6,0)</f>
        <v/>
      </c>
      <c r="M6" s="60">
        <f>IF(ISNUMBER($C6),MAX(0,M$4-MAX(M$3,$C6)+1)*$H6,0)</f>
        <v/>
      </c>
      <c r="N6" s="60">
        <f>IF(ISNUMBER($C6),MAX(0,N$4-MAX(N$3,$C6)+1)*$H6,0)</f>
        <v/>
      </c>
      <c r="O6" s="60">
        <f>IF(ISNUMBER($C6),MAX(0,O$4-MAX(O$3,$C6)+1)*$H6,0)</f>
        <v/>
      </c>
      <c r="P6" s="60">
        <f>IF(ISNUMBER($C6),MAX(0,P$4-MAX(P$3,$C6)+1)*$H6,0)</f>
        <v/>
      </c>
      <c r="Q6" s="60">
        <f>IF(ISNUMBER($C6),MAX(0,Q$4-MAX(Q$3,$C6)+1)*$H6,0)</f>
        <v/>
      </c>
      <c r="R6" s="60">
        <f>IF(ISNUMBER($C6),MAX(0,R$4-MAX(R$3,$C6)+1)*$H6,0)</f>
        <v/>
      </c>
      <c r="S6" s="60">
        <f>IF(ISNUMBER($C6),MAX(0,S$4-MAX(S$3,$C6)+1)*$H6,0)</f>
        <v/>
      </c>
      <c r="T6" s="60">
        <f>IF(ISNUMBER($C6),MAX(0,T$4-MAX(T$3,$C6)+1)*$H6,0)</f>
        <v/>
      </c>
      <c r="U6" s="60">
        <f>IF(ISNUMBER($C6),MAX(0,U$4-MAX(U$3,$C6)+1)*$H6,0)</f>
        <v/>
      </c>
      <c r="V6" s="60">
        <f>IF(ISNUMBER($C6),MAX(0,V$4-MAX(V$3,$C6)+1)*$H6,0)</f>
        <v/>
      </c>
      <c r="W6" s="60">
        <f>SUM(I6:V6)</f>
        <v/>
      </c>
    </row>
    <row r="7">
      <c r="A7" s="68">
        <f>'Outlet Plan'!A3</f>
        <v/>
      </c>
      <c r="B7" s="85">
        <f>'Outlet Plan'!B3</f>
        <v/>
      </c>
      <c r="C7" s="84">
        <f>'Outlet Plan'!C3</f>
        <v/>
      </c>
      <c r="D7" s="60">
        <f>IF(ROW()&lt;=8,'Q4 Assumptions'!$B$16,'Q4 Assumptions'!$B$17)</f>
        <v/>
      </c>
      <c r="E7" s="58">
        <f>'Q4 Assumptions'!$B$19</f>
        <v/>
      </c>
      <c r="F7" s="60">
        <f>IF(ISNUMBER(C7),D7-E7,0)</f>
        <v/>
      </c>
      <c r="G7" s="67">
        <f>IF(ISNUMBER(C7),MAX(C7-'Q4 Assumptions'!$B$15,'Q4 Assumptions'!$B$5),"TBD")</f>
        <v/>
      </c>
      <c r="H7" s="58">
        <f>'Q4 Assumptions'!$B$13</f>
        <v/>
      </c>
      <c r="I7" s="60">
        <f>IF(ISNUMBER($C7),MAX(0,I$4-MAX(I$3,$C7)+1)*$H7,0)</f>
        <v/>
      </c>
      <c r="J7" s="60">
        <f>IF(ISNUMBER($C7),MAX(0,J$4-MAX(J$3,$C7)+1)*$H7,0)</f>
        <v/>
      </c>
      <c r="K7" s="60">
        <f>IF(ISNUMBER($C7),MAX(0,K$4-MAX(K$3,$C7)+1)*$H7,0)</f>
        <v/>
      </c>
      <c r="L7" s="60">
        <f>IF(ISNUMBER($C7),MAX(0,L$4-MAX(L$3,$C7)+1)*$H7,0)</f>
        <v/>
      </c>
      <c r="M7" s="60">
        <f>IF(ISNUMBER($C7),MAX(0,M$4-MAX(M$3,$C7)+1)*$H7,0)</f>
        <v/>
      </c>
      <c r="N7" s="60">
        <f>IF(ISNUMBER($C7),MAX(0,N$4-MAX(N$3,$C7)+1)*$H7,0)</f>
        <v/>
      </c>
      <c r="O7" s="60">
        <f>IF(ISNUMBER($C7),MAX(0,O$4-MAX(O$3,$C7)+1)*$H7,0)</f>
        <v/>
      </c>
      <c r="P7" s="60">
        <f>IF(ISNUMBER($C7),MAX(0,P$4-MAX(P$3,$C7)+1)*$H7,0)</f>
        <v/>
      </c>
      <c r="Q7" s="60">
        <f>IF(ISNUMBER($C7),MAX(0,Q$4-MAX(Q$3,$C7)+1)*$H7,0)</f>
        <v/>
      </c>
      <c r="R7" s="60">
        <f>IF(ISNUMBER($C7),MAX(0,R$4-MAX(R$3,$C7)+1)*$H7,0)</f>
        <v/>
      </c>
      <c r="S7" s="60">
        <f>IF(ISNUMBER($C7),MAX(0,S$4-MAX(S$3,$C7)+1)*$H7,0)</f>
        <v/>
      </c>
      <c r="T7" s="60">
        <f>IF(ISNUMBER($C7),MAX(0,T$4-MAX(T$3,$C7)+1)*$H7,0)</f>
        <v/>
      </c>
      <c r="U7" s="60">
        <f>IF(ISNUMBER($C7),MAX(0,U$4-MAX(U$3,$C7)+1)*$H7,0)</f>
        <v/>
      </c>
      <c r="V7" s="60">
        <f>IF(ISNUMBER($C7),MAX(0,V$4-MAX(V$3,$C7)+1)*$H7,0)</f>
        <v/>
      </c>
      <c r="W7" s="60">
        <f>SUM(I7:V7)</f>
        <v/>
      </c>
    </row>
    <row r="8">
      <c r="A8" s="68">
        <f>'Outlet Plan'!A4</f>
        <v/>
      </c>
      <c r="B8" s="85">
        <f>'Outlet Plan'!B4</f>
        <v/>
      </c>
      <c r="C8" s="84">
        <f>'Outlet Plan'!C4</f>
        <v/>
      </c>
      <c r="D8" s="60">
        <f>IF(ROW()&lt;=8,'Q4 Assumptions'!$B$16,'Q4 Assumptions'!$B$17)</f>
        <v/>
      </c>
      <c r="E8" s="58">
        <f>'Q4 Assumptions'!$B$20</f>
        <v/>
      </c>
      <c r="F8" s="60">
        <f>IF(ISNUMBER(C8),D8-E8,0)</f>
        <v/>
      </c>
      <c r="G8" s="67">
        <f>IF(ISNUMBER(C8),MAX(C8-'Q4 Assumptions'!$B$15,'Q4 Assumptions'!$B$5),"TBD")</f>
        <v/>
      </c>
      <c r="H8" s="58">
        <f>'Q4 Assumptions'!$B$13</f>
        <v/>
      </c>
      <c r="I8" s="60">
        <f>IF(ISNUMBER($C8),MAX(0,I$4-MAX(I$3,$C8)+1)*$H8,0)</f>
        <v/>
      </c>
      <c r="J8" s="60">
        <f>IF(ISNUMBER($C8),MAX(0,J$4-MAX(J$3,$C8)+1)*$H8,0)</f>
        <v/>
      </c>
      <c r="K8" s="60">
        <f>IF(ISNUMBER($C8),MAX(0,K$4-MAX(K$3,$C8)+1)*$H8,0)</f>
        <v/>
      </c>
      <c r="L8" s="60">
        <f>IF(ISNUMBER($C8),MAX(0,L$4-MAX(L$3,$C8)+1)*$H8,0)</f>
        <v/>
      </c>
      <c r="M8" s="60">
        <f>IF(ISNUMBER($C8),MAX(0,M$4-MAX(M$3,$C8)+1)*$H8,0)</f>
        <v/>
      </c>
      <c r="N8" s="60">
        <f>IF(ISNUMBER($C8),MAX(0,N$4-MAX(N$3,$C8)+1)*$H8,0)</f>
        <v/>
      </c>
      <c r="O8" s="60">
        <f>IF(ISNUMBER($C8),MAX(0,O$4-MAX(O$3,$C8)+1)*$H8,0)</f>
        <v/>
      </c>
      <c r="P8" s="60">
        <f>IF(ISNUMBER($C8),MAX(0,P$4-MAX(P$3,$C8)+1)*$H8,0)</f>
        <v/>
      </c>
      <c r="Q8" s="60">
        <f>IF(ISNUMBER($C8),MAX(0,Q$4-MAX(Q$3,$C8)+1)*$H8,0)</f>
        <v/>
      </c>
      <c r="R8" s="60">
        <f>IF(ISNUMBER($C8),MAX(0,R$4-MAX(R$3,$C8)+1)*$H8,0)</f>
        <v/>
      </c>
      <c r="S8" s="60">
        <f>IF(ISNUMBER($C8),MAX(0,S$4-MAX(S$3,$C8)+1)*$H8,0)</f>
        <v/>
      </c>
      <c r="T8" s="60">
        <f>IF(ISNUMBER($C8),MAX(0,T$4-MAX(T$3,$C8)+1)*$H8,0)</f>
        <v/>
      </c>
      <c r="U8" s="60">
        <f>IF(ISNUMBER($C8),MAX(0,U$4-MAX(U$3,$C8)+1)*$H8,0)</f>
        <v/>
      </c>
      <c r="V8" s="60">
        <f>IF(ISNUMBER($C8),MAX(0,V$4-MAX(V$3,$C8)+1)*$H8,0)</f>
        <v/>
      </c>
      <c r="W8" s="60">
        <f>SUM(I8:V8)</f>
        <v/>
      </c>
    </row>
    <row r="9">
      <c r="A9" s="68">
        <f>'Outlet Plan'!A5</f>
        <v/>
      </c>
      <c r="B9" s="85">
        <f>'Outlet Plan'!B5</f>
        <v/>
      </c>
      <c r="C9" s="84">
        <f>'Outlet Plan'!C5</f>
        <v/>
      </c>
      <c r="D9" s="60">
        <f>IF(ROW()&lt;=8,'Q4 Assumptions'!$B$16,'Q4 Assumptions'!$B$17)</f>
        <v/>
      </c>
      <c r="E9" s="59" t="n">
        <v>0</v>
      </c>
      <c r="F9" s="60">
        <f>IF(ISNUMBER(C9),D9-E9,0)</f>
        <v/>
      </c>
      <c r="G9" s="67">
        <f>IF(ISNUMBER(C9),MAX(C9-'Q4 Assumptions'!$B$15,'Q4 Assumptions'!$B$5),"TBD")</f>
        <v/>
      </c>
      <c r="H9" s="58">
        <f>'Q4 Assumptions'!$B$13</f>
        <v/>
      </c>
      <c r="I9" s="60">
        <f>IF(ISNUMBER($C9),MAX(0,I$4-MAX(I$3,$C9)+1)*$H9,0)</f>
        <v/>
      </c>
      <c r="J9" s="60">
        <f>IF(ISNUMBER($C9),MAX(0,J$4-MAX(J$3,$C9)+1)*$H9,0)</f>
        <v/>
      </c>
      <c r="K9" s="60">
        <f>IF(ISNUMBER($C9),MAX(0,K$4-MAX(K$3,$C9)+1)*$H9,0)</f>
        <v/>
      </c>
      <c r="L9" s="60">
        <f>IF(ISNUMBER($C9),MAX(0,L$4-MAX(L$3,$C9)+1)*$H9,0)</f>
        <v/>
      </c>
      <c r="M9" s="60">
        <f>IF(ISNUMBER($C9),MAX(0,M$4-MAX(M$3,$C9)+1)*$H9,0)</f>
        <v/>
      </c>
      <c r="N9" s="60">
        <f>IF(ISNUMBER($C9),MAX(0,N$4-MAX(N$3,$C9)+1)*$H9,0)</f>
        <v/>
      </c>
      <c r="O9" s="60">
        <f>IF(ISNUMBER($C9),MAX(0,O$4-MAX(O$3,$C9)+1)*$H9,0)</f>
        <v/>
      </c>
      <c r="P9" s="60">
        <f>IF(ISNUMBER($C9),MAX(0,P$4-MAX(P$3,$C9)+1)*$H9,0)</f>
        <v/>
      </c>
      <c r="Q9" s="60">
        <f>IF(ISNUMBER($C9),MAX(0,Q$4-MAX(Q$3,$C9)+1)*$H9,0)</f>
        <v/>
      </c>
      <c r="R9" s="60">
        <f>IF(ISNUMBER($C9),MAX(0,R$4-MAX(R$3,$C9)+1)*$H9,0)</f>
        <v/>
      </c>
      <c r="S9" s="60">
        <f>IF(ISNUMBER($C9),MAX(0,S$4-MAX(S$3,$C9)+1)*$H9,0)</f>
        <v/>
      </c>
      <c r="T9" s="60">
        <f>IF(ISNUMBER($C9),MAX(0,T$4-MAX(T$3,$C9)+1)*$H9,0)</f>
        <v/>
      </c>
      <c r="U9" s="60">
        <f>IF(ISNUMBER($C9),MAX(0,U$4-MAX(U$3,$C9)+1)*$H9,0)</f>
        <v/>
      </c>
      <c r="V9" s="60">
        <f>IF(ISNUMBER($C9),MAX(0,V$4-MAX(V$3,$C9)+1)*$H9,0)</f>
        <v/>
      </c>
      <c r="W9" s="60">
        <f>SUM(I9:V9)</f>
        <v/>
      </c>
    </row>
    <row r="10">
      <c r="A10" s="68">
        <f>'Outlet Plan'!A6</f>
        <v/>
      </c>
      <c r="B10" s="85">
        <f>'Outlet Plan'!B6</f>
        <v/>
      </c>
      <c r="C10" s="84">
        <f>'Outlet Plan'!C6</f>
        <v/>
      </c>
      <c r="D10" s="60">
        <f>IF(ROW()&lt;=8,'Q4 Assumptions'!$B$16,'Q4 Assumptions'!$B$17)</f>
        <v/>
      </c>
      <c r="E10" s="59" t="n">
        <v>0</v>
      </c>
      <c r="F10" s="60">
        <f>IF(ISNUMBER(C10),D10-E10,0)</f>
        <v/>
      </c>
      <c r="G10" s="67">
        <f>IF(ISNUMBER(C10),MAX(C10-'Q4 Assumptions'!$B$15,'Q4 Assumptions'!$B$5),"TBD")</f>
        <v/>
      </c>
      <c r="H10" s="58">
        <f>'Q4 Assumptions'!$B$13</f>
        <v/>
      </c>
      <c r="I10" s="60">
        <f>IF(ISNUMBER($C10),MAX(0,I$4-MAX(I$3,$C10)+1)*$H10,0)</f>
        <v/>
      </c>
      <c r="J10" s="60">
        <f>IF(ISNUMBER($C10),MAX(0,J$4-MAX(J$3,$C10)+1)*$H10,0)</f>
        <v/>
      </c>
      <c r="K10" s="60">
        <f>IF(ISNUMBER($C10),MAX(0,K$4-MAX(K$3,$C10)+1)*$H10,0)</f>
        <v/>
      </c>
      <c r="L10" s="60">
        <f>IF(ISNUMBER($C10),MAX(0,L$4-MAX(L$3,$C10)+1)*$H10,0)</f>
        <v/>
      </c>
      <c r="M10" s="60">
        <f>IF(ISNUMBER($C10),MAX(0,M$4-MAX(M$3,$C10)+1)*$H10,0)</f>
        <v/>
      </c>
      <c r="N10" s="60">
        <f>IF(ISNUMBER($C10),MAX(0,N$4-MAX(N$3,$C10)+1)*$H10,0)</f>
        <v/>
      </c>
      <c r="O10" s="60">
        <f>IF(ISNUMBER($C10),MAX(0,O$4-MAX(O$3,$C10)+1)*$H10,0)</f>
        <v/>
      </c>
      <c r="P10" s="60">
        <f>IF(ISNUMBER($C10),MAX(0,P$4-MAX(P$3,$C10)+1)*$H10,0)</f>
        <v/>
      </c>
      <c r="Q10" s="60">
        <f>IF(ISNUMBER($C10),MAX(0,Q$4-MAX(Q$3,$C10)+1)*$H10,0)</f>
        <v/>
      </c>
      <c r="R10" s="60">
        <f>IF(ISNUMBER($C10),MAX(0,R$4-MAX(R$3,$C10)+1)*$H10,0)</f>
        <v/>
      </c>
      <c r="S10" s="60">
        <f>IF(ISNUMBER($C10),MAX(0,S$4-MAX(S$3,$C10)+1)*$H10,0)</f>
        <v/>
      </c>
      <c r="T10" s="60">
        <f>IF(ISNUMBER($C10),MAX(0,T$4-MAX(T$3,$C10)+1)*$H10,0)</f>
        <v/>
      </c>
      <c r="U10" s="60">
        <f>IF(ISNUMBER($C10),MAX(0,U$4-MAX(U$3,$C10)+1)*$H10,0)</f>
        <v/>
      </c>
      <c r="V10" s="60">
        <f>IF(ISNUMBER($C10),MAX(0,V$4-MAX(V$3,$C10)+1)*$H10,0)</f>
        <v/>
      </c>
      <c r="W10" s="60">
        <f>SUM(I10:V10)</f>
        <v/>
      </c>
    </row>
    <row r="11">
      <c r="A11" s="68">
        <f>'Outlet Plan'!A7</f>
        <v/>
      </c>
      <c r="B11" s="85">
        <f>'Outlet Plan'!B7</f>
        <v/>
      </c>
      <c r="C11" s="84">
        <f>'Outlet Plan'!C7</f>
        <v/>
      </c>
      <c r="D11" s="60">
        <f>IF(ROW()&lt;=8,'Q4 Assumptions'!$B$16,'Q4 Assumptions'!$B$17)</f>
        <v/>
      </c>
      <c r="E11" s="59" t="n">
        <v>0</v>
      </c>
      <c r="F11" s="60">
        <f>IF(ISNUMBER(C11),D11-E11,0)</f>
        <v/>
      </c>
      <c r="G11" s="67">
        <f>IF(ISNUMBER(C11),MAX(C11-'Q4 Assumptions'!$B$15,'Q4 Assumptions'!$B$5),"TBD")</f>
        <v/>
      </c>
      <c r="H11" s="58">
        <f>'Q4 Assumptions'!$B$13</f>
        <v/>
      </c>
      <c r="I11" s="60">
        <f>IF(ISNUMBER($C11),MAX(0,I$4-MAX(I$3,$C11)+1)*$H11,0)</f>
        <v/>
      </c>
      <c r="J11" s="60">
        <f>IF(ISNUMBER($C11),MAX(0,J$4-MAX(J$3,$C11)+1)*$H11,0)</f>
        <v/>
      </c>
      <c r="K11" s="60">
        <f>IF(ISNUMBER($C11),MAX(0,K$4-MAX(K$3,$C11)+1)*$H11,0)</f>
        <v/>
      </c>
      <c r="L11" s="60">
        <f>IF(ISNUMBER($C11),MAX(0,L$4-MAX(L$3,$C11)+1)*$H11,0)</f>
        <v/>
      </c>
      <c r="M11" s="60">
        <f>IF(ISNUMBER($C11),MAX(0,M$4-MAX(M$3,$C11)+1)*$H11,0)</f>
        <v/>
      </c>
      <c r="N11" s="60">
        <f>IF(ISNUMBER($C11),MAX(0,N$4-MAX(N$3,$C11)+1)*$H11,0)</f>
        <v/>
      </c>
      <c r="O11" s="60">
        <f>IF(ISNUMBER($C11),MAX(0,O$4-MAX(O$3,$C11)+1)*$H11,0)</f>
        <v/>
      </c>
      <c r="P11" s="60">
        <f>IF(ISNUMBER($C11),MAX(0,P$4-MAX(P$3,$C11)+1)*$H11,0)</f>
        <v/>
      </c>
      <c r="Q11" s="60">
        <f>IF(ISNUMBER($C11),MAX(0,Q$4-MAX(Q$3,$C11)+1)*$H11,0)</f>
        <v/>
      </c>
      <c r="R11" s="60">
        <f>IF(ISNUMBER($C11),MAX(0,R$4-MAX(R$3,$C11)+1)*$H11,0)</f>
        <v/>
      </c>
      <c r="S11" s="60">
        <f>IF(ISNUMBER($C11),MAX(0,S$4-MAX(S$3,$C11)+1)*$H11,0)</f>
        <v/>
      </c>
      <c r="T11" s="60">
        <f>IF(ISNUMBER($C11),MAX(0,T$4-MAX(T$3,$C11)+1)*$H11,0)</f>
        <v/>
      </c>
      <c r="U11" s="60">
        <f>IF(ISNUMBER($C11),MAX(0,U$4-MAX(U$3,$C11)+1)*$H11,0)</f>
        <v/>
      </c>
      <c r="V11" s="60">
        <f>IF(ISNUMBER($C11),MAX(0,V$4-MAX(V$3,$C11)+1)*$H11,0)</f>
        <v/>
      </c>
      <c r="W11" s="60">
        <f>SUM(I11:V11)</f>
        <v/>
      </c>
    </row>
    <row r="12">
      <c r="A12" s="68">
        <f>'Outlet Plan'!A8</f>
        <v/>
      </c>
      <c r="B12" s="85">
        <f>'Outlet Plan'!B8</f>
        <v/>
      </c>
      <c r="C12" s="84">
        <f>'Outlet Plan'!C8</f>
        <v/>
      </c>
      <c r="D12" s="60">
        <f>IF(ROW()&lt;=8,'Q4 Assumptions'!$B$16,'Q4 Assumptions'!$B$17)</f>
        <v/>
      </c>
      <c r="E12" s="59" t="n">
        <v>0</v>
      </c>
      <c r="F12" s="60">
        <f>IF(ISNUMBER(C12),D12-E12,0)</f>
        <v/>
      </c>
      <c r="G12" s="67">
        <f>IF(ISNUMBER(C12),MAX(C12-'Q4 Assumptions'!$B$15,'Q4 Assumptions'!$B$5),"TBD")</f>
        <v/>
      </c>
      <c r="H12" s="58">
        <f>'Q4 Assumptions'!$B$13</f>
        <v/>
      </c>
      <c r="I12" s="60">
        <f>IF(ISNUMBER($C12),MAX(0,I$4-MAX(I$3,$C12)+1)*$H12,0)</f>
        <v/>
      </c>
      <c r="J12" s="60">
        <f>IF(ISNUMBER($C12),MAX(0,J$4-MAX(J$3,$C12)+1)*$H12,0)</f>
        <v/>
      </c>
      <c r="K12" s="60">
        <f>IF(ISNUMBER($C12),MAX(0,K$4-MAX(K$3,$C12)+1)*$H12,0)</f>
        <v/>
      </c>
      <c r="L12" s="60">
        <f>IF(ISNUMBER($C12),MAX(0,L$4-MAX(L$3,$C12)+1)*$H12,0)</f>
        <v/>
      </c>
      <c r="M12" s="60">
        <f>IF(ISNUMBER($C12),MAX(0,M$4-MAX(M$3,$C12)+1)*$H12,0)</f>
        <v/>
      </c>
      <c r="N12" s="60">
        <f>IF(ISNUMBER($C12),MAX(0,N$4-MAX(N$3,$C12)+1)*$H12,0)</f>
        <v/>
      </c>
      <c r="O12" s="60">
        <f>IF(ISNUMBER($C12),MAX(0,O$4-MAX(O$3,$C12)+1)*$H12,0)</f>
        <v/>
      </c>
      <c r="P12" s="60">
        <f>IF(ISNUMBER($C12),MAX(0,P$4-MAX(P$3,$C12)+1)*$H12,0)</f>
        <v/>
      </c>
      <c r="Q12" s="60">
        <f>IF(ISNUMBER($C12),MAX(0,Q$4-MAX(Q$3,$C12)+1)*$H12,0)</f>
        <v/>
      </c>
      <c r="R12" s="60">
        <f>IF(ISNUMBER($C12),MAX(0,R$4-MAX(R$3,$C12)+1)*$H12,0)</f>
        <v/>
      </c>
      <c r="S12" s="60">
        <f>IF(ISNUMBER($C12),MAX(0,S$4-MAX(S$3,$C12)+1)*$H12,0)</f>
        <v/>
      </c>
      <c r="T12" s="60">
        <f>IF(ISNUMBER($C12),MAX(0,T$4-MAX(T$3,$C12)+1)*$H12,0)</f>
        <v/>
      </c>
      <c r="U12" s="60">
        <f>IF(ISNUMBER($C12),MAX(0,U$4-MAX(U$3,$C12)+1)*$H12,0)</f>
        <v/>
      </c>
      <c r="V12" s="60">
        <f>IF(ISNUMBER($C12),MAX(0,V$4-MAX(V$3,$C12)+1)*$H12,0)</f>
        <v/>
      </c>
      <c r="W12" s="60">
        <f>SUM(I12:V12)</f>
        <v/>
      </c>
    </row>
    <row r="13">
      <c r="A13" s="68">
        <f>'Outlet Plan'!A9</f>
        <v/>
      </c>
      <c r="B13" s="85">
        <f>'Outlet Plan'!B9</f>
        <v/>
      </c>
      <c r="C13" s="84">
        <f>'Outlet Plan'!C9</f>
        <v/>
      </c>
      <c r="D13" s="60">
        <f>IF(ROW()&lt;=8,'Q4 Assumptions'!$B$16,'Q4 Assumptions'!$B$17)</f>
        <v/>
      </c>
      <c r="E13" s="59" t="n">
        <v>0</v>
      </c>
      <c r="F13" s="60">
        <f>IF(ISNUMBER(C13),D13-E13,0)</f>
        <v/>
      </c>
      <c r="G13" s="67">
        <f>IF(ISNUMBER(C13),MAX(C13-'Q4 Assumptions'!$B$15,'Q4 Assumptions'!$B$5),"TBD")</f>
        <v/>
      </c>
      <c r="H13" s="58">
        <f>'Q4 Assumptions'!$B$13</f>
        <v/>
      </c>
      <c r="I13" s="60">
        <f>IF(ISNUMBER($C13),MAX(0,I$4-MAX(I$3,$C13)+1)*$H13,0)</f>
        <v/>
      </c>
      <c r="J13" s="60">
        <f>IF(ISNUMBER($C13),MAX(0,J$4-MAX(J$3,$C13)+1)*$H13,0)</f>
        <v/>
      </c>
      <c r="K13" s="60">
        <f>IF(ISNUMBER($C13),MAX(0,K$4-MAX(K$3,$C13)+1)*$H13,0)</f>
        <v/>
      </c>
      <c r="L13" s="60">
        <f>IF(ISNUMBER($C13),MAX(0,L$4-MAX(L$3,$C13)+1)*$H13,0)</f>
        <v/>
      </c>
      <c r="M13" s="60">
        <f>IF(ISNUMBER($C13),MAX(0,M$4-MAX(M$3,$C13)+1)*$H13,0)</f>
        <v/>
      </c>
      <c r="N13" s="60">
        <f>IF(ISNUMBER($C13),MAX(0,N$4-MAX(N$3,$C13)+1)*$H13,0)</f>
        <v/>
      </c>
      <c r="O13" s="60">
        <f>IF(ISNUMBER($C13),MAX(0,O$4-MAX(O$3,$C13)+1)*$H13,0)</f>
        <v/>
      </c>
      <c r="P13" s="60">
        <f>IF(ISNUMBER($C13),MAX(0,P$4-MAX(P$3,$C13)+1)*$H13,0)</f>
        <v/>
      </c>
      <c r="Q13" s="60">
        <f>IF(ISNUMBER($C13),MAX(0,Q$4-MAX(Q$3,$C13)+1)*$H13,0)</f>
        <v/>
      </c>
      <c r="R13" s="60">
        <f>IF(ISNUMBER($C13),MAX(0,R$4-MAX(R$3,$C13)+1)*$H13,0)</f>
        <v/>
      </c>
      <c r="S13" s="60">
        <f>IF(ISNUMBER($C13),MAX(0,S$4-MAX(S$3,$C13)+1)*$H13,0)</f>
        <v/>
      </c>
      <c r="T13" s="60">
        <f>IF(ISNUMBER($C13),MAX(0,T$4-MAX(T$3,$C13)+1)*$H13,0)</f>
        <v/>
      </c>
      <c r="U13" s="60">
        <f>IF(ISNUMBER($C13),MAX(0,U$4-MAX(U$3,$C13)+1)*$H13,0)</f>
        <v/>
      </c>
      <c r="V13" s="60">
        <f>IF(ISNUMBER($C13),MAX(0,V$4-MAX(V$3,$C13)+1)*$H13,0)</f>
        <v/>
      </c>
      <c r="W13" s="60">
        <f>SUM(I13:V13)</f>
        <v/>
      </c>
    </row>
    <row r="14">
      <c r="A14" s="68">
        <f>'Outlet Plan'!A10</f>
        <v/>
      </c>
      <c r="B14" s="85">
        <f>'Outlet Plan'!B10</f>
        <v/>
      </c>
      <c r="C14" s="84">
        <f>'Outlet Plan'!C10</f>
        <v/>
      </c>
      <c r="D14" s="60">
        <f>IF(ROW()&lt;=8,'Q4 Assumptions'!$B$16,'Q4 Assumptions'!$B$17)</f>
        <v/>
      </c>
      <c r="E14" s="59" t="n">
        <v>0</v>
      </c>
      <c r="F14" s="60">
        <f>IF(ISNUMBER(C14),D14-E14,0)</f>
        <v/>
      </c>
      <c r="G14" s="67">
        <f>IF(ISNUMBER(C14),MAX(C14-'Q4 Assumptions'!$B$15,'Q4 Assumptions'!$B$5),"TBD")</f>
        <v/>
      </c>
      <c r="H14" s="58">
        <f>'Q4 Assumptions'!$B$13</f>
        <v/>
      </c>
      <c r="I14" s="60">
        <f>IF(ISNUMBER($C14),MAX(0,I$4-MAX(I$3,$C14)+1)*$H14,0)</f>
        <v/>
      </c>
      <c r="J14" s="60">
        <f>IF(ISNUMBER($C14),MAX(0,J$4-MAX(J$3,$C14)+1)*$H14,0)</f>
        <v/>
      </c>
      <c r="K14" s="60">
        <f>IF(ISNUMBER($C14),MAX(0,K$4-MAX(K$3,$C14)+1)*$H14,0)</f>
        <v/>
      </c>
      <c r="L14" s="60">
        <f>IF(ISNUMBER($C14),MAX(0,L$4-MAX(L$3,$C14)+1)*$H14,0)</f>
        <v/>
      </c>
      <c r="M14" s="60">
        <f>IF(ISNUMBER($C14),MAX(0,M$4-MAX(M$3,$C14)+1)*$H14,0)</f>
        <v/>
      </c>
      <c r="N14" s="60">
        <f>IF(ISNUMBER($C14),MAX(0,N$4-MAX(N$3,$C14)+1)*$H14,0)</f>
        <v/>
      </c>
      <c r="O14" s="60">
        <f>IF(ISNUMBER($C14),MAX(0,O$4-MAX(O$3,$C14)+1)*$H14,0)</f>
        <v/>
      </c>
      <c r="P14" s="60">
        <f>IF(ISNUMBER($C14),MAX(0,P$4-MAX(P$3,$C14)+1)*$H14,0)</f>
        <v/>
      </c>
      <c r="Q14" s="60">
        <f>IF(ISNUMBER($C14),MAX(0,Q$4-MAX(Q$3,$C14)+1)*$H14,0)</f>
        <v/>
      </c>
      <c r="R14" s="60">
        <f>IF(ISNUMBER($C14),MAX(0,R$4-MAX(R$3,$C14)+1)*$H14,0)</f>
        <v/>
      </c>
      <c r="S14" s="60">
        <f>IF(ISNUMBER($C14),MAX(0,S$4-MAX(S$3,$C14)+1)*$H14,0)</f>
        <v/>
      </c>
      <c r="T14" s="60">
        <f>IF(ISNUMBER($C14),MAX(0,T$4-MAX(T$3,$C14)+1)*$H14,0)</f>
        <v/>
      </c>
      <c r="U14" s="60">
        <f>IF(ISNUMBER($C14),MAX(0,U$4-MAX(U$3,$C14)+1)*$H14,0)</f>
        <v/>
      </c>
      <c r="V14" s="60">
        <f>IF(ISNUMBER($C14),MAX(0,V$4-MAX(V$3,$C14)+1)*$H14,0)</f>
        <v/>
      </c>
      <c r="W14" s="60">
        <f>SUM(I14:V14)</f>
        <v/>
      </c>
    </row>
    <row r="15">
      <c r="A15" s="68">
        <f>'Outlet Plan'!A11</f>
        <v/>
      </c>
      <c r="B15" s="85">
        <f>'Outlet Plan'!B11</f>
        <v/>
      </c>
      <c r="C15" s="84">
        <f>'Outlet Plan'!C11</f>
        <v/>
      </c>
      <c r="D15" s="60">
        <f>IF(ROW()&lt;=8,'Q4 Assumptions'!$B$16,'Q4 Assumptions'!$B$17)</f>
        <v/>
      </c>
      <c r="E15" s="59" t="n">
        <v>0</v>
      </c>
      <c r="F15" s="60">
        <f>IF(ISNUMBER(C15),D15-E15,0)</f>
        <v/>
      </c>
      <c r="G15" s="67">
        <f>IF(ISNUMBER(C15),MAX(C15-'Q4 Assumptions'!$B$15,'Q4 Assumptions'!$B$5),"TBD")</f>
        <v/>
      </c>
      <c r="H15" s="58">
        <f>'Q4 Assumptions'!$B$13</f>
        <v/>
      </c>
      <c r="I15" s="60">
        <f>IF(ISNUMBER($C15),MAX(0,I$4-MAX(I$3,$C15)+1)*$H15,0)</f>
        <v/>
      </c>
      <c r="J15" s="60">
        <f>IF(ISNUMBER($C15),MAX(0,J$4-MAX(J$3,$C15)+1)*$H15,0)</f>
        <v/>
      </c>
      <c r="K15" s="60">
        <f>IF(ISNUMBER($C15),MAX(0,K$4-MAX(K$3,$C15)+1)*$H15,0)</f>
        <v/>
      </c>
      <c r="L15" s="60">
        <f>IF(ISNUMBER($C15),MAX(0,L$4-MAX(L$3,$C15)+1)*$H15,0)</f>
        <v/>
      </c>
      <c r="M15" s="60">
        <f>IF(ISNUMBER($C15),MAX(0,M$4-MAX(M$3,$C15)+1)*$H15,0)</f>
        <v/>
      </c>
      <c r="N15" s="60">
        <f>IF(ISNUMBER($C15),MAX(0,N$4-MAX(N$3,$C15)+1)*$H15,0)</f>
        <v/>
      </c>
      <c r="O15" s="60">
        <f>IF(ISNUMBER($C15),MAX(0,O$4-MAX(O$3,$C15)+1)*$H15,0)</f>
        <v/>
      </c>
      <c r="P15" s="60">
        <f>IF(ISNUMBER($C15),MAX(0,P$4-MAX(P$3,$C15)+1)*$H15,0)</f>
        <v/>
      </c>
      <c r="Q15" s="60">
        <f>IF(ISNUMBER($C15),MAX(0,Q$4-MAX(Q$3,$C15)+1)*$H15,0)</f>
        <v/>
      </c>
      <c r="R15" s="60">
        <f>IF(ISNUMBER($C15),MAX(0,R$4-MAX(R$3,$C15)+1)*$H15,0)</f>
        <v/>
      </c>
      <c r="S15" s="60">
        <f>IF(ISNUMBER($C15),MAX(0,S$4-MAX(S$3,$C15)+1)*$H15,0)</f>
        <v/>
      </c>
      <c r="T15" s="60">
        <f>IF(ISNUMBER($C15),MAX(0,T$4-MAX(T$3,$C15)+1)*$H15,0)</f>
        <v/>
      </c>
      <c r="U15" s="60">
        <f>IF(ISNUMBER($C15),MAX(0,U$4-MAX(U$3,$C15)+1)*$H15,0)</f>
        <v/>
      </c>
      <c r="V15" s="60">
        <f>IF(ISNUMBER($C15),MAX(0,V$4-MAX(V$3,$C15)+1)*$H15,0)</f>
        <v/>
      </c>
      <c r="W15" s="60">
        <f>SUM(I15:V15)</f>
        <v/>
      </c>
    </row>
    <row r="16">
      <c r="A16" s="68">
        <f>'Outlet Plan'!A12</f>
        <v/>
      </c>
      <c r="B16" s="85">
        <f>'Outlet Plan'!B12</f>
        <v/>
      </c>
      <c r="C16" s="84">
        <f>'Outlet Plan'!C12</f>
        <v/>
      </c>
      <c r="D16" s="60">
        <f>IF(ROW()&lt;=8,'Q4 Assumptions'!$B$16,'Q4 Assumptions'!$B$17)</f>
        <v/>
      </c>
      <c r="E16" s="59" t="n">
        <v>0</v>
      </c>
      <c r="F16" s="60">
        <f>IF(ISNUMBER(C16),D16-E16,0)</f>
        <v/>
      </c>
      <c r="G16" s="67">
        <f>IF(ISNUMBER(C16),MAX(C16-'Q4 Assumptions'!$B$15,'Q4 Assumptions'!$B$5),"TBD")</f>
        <v/>
      </c>
      <c r="H16" s="58">
        <f>'Q4 Assumptions'!$B$13</f>
        <v/>
      </c>
      <c r="I16" s="60">
        <f>IF(ISNUMBER($C16),MAX(0,I$4-MAX(I$3,$C16)+1)*$H16,0)</f>
        <v/>
      </c>
      <c r="J16" s="60">
        <f>IF(ISNUMBER($C16),MAX(0,J$4-MAX(J$3,$C16)+1)*$H16,0)</f>
        <v/>
      </c>
      <c r="K16" s="60">
        <f>IF(ISNUMBER($C16),MAX(0,K$4-MAX(K$3,$C16)+1)*$H16,0)</f>
        <v/>
      </c>
      <c r="L16" s="60">
        <f>IF(ISNUMBER($C16),MAX(0,L$4-MAX(L$3,$C16)+1)*$H16,0)</f>
        <v/>
      </c>
      <c r="M16" s="60">
        <f>IF(ISNUMBER($C16),MAX(0,M$4-MAX(M$3,$C16)+1)*$H16,0)</f>
        <v/>
      </c>
      <c r="N16" s="60">
        <f>IF(ISNUMBER($C16),MAX(0,N$4-MAX(N$3,$C16)+1)*$H16,0)</f>
        <v/>
      </c>
      <c r="O16" s="60">
        <f>IF(ISNUMBER($C16),MAX(0,O$4-MAX(O$3,$C16)+1)*$H16,0)</f>
        <v/>
      </c>
      <c r="P16" s="60">
        <f>IF(ISNUMBER($C16),MAX(0,P$4-MAX(P$3,$C16)+1)*$H16,0)</f>
        <v/>
      </c>
      <c r="Q16" s="60">
        <f>IF(ISNUMBER($C16),MAX(0,Q$4-MAX(Q$3,$C16)+1)*$H16,0)</f>
        <v/>
      </c>
      <c r="R16" s="60">
        <f>IF(ISNUMBER($C16),MAX(0,R$4-MAX(R$3,$C16)+1)*$H16,0)</f>
        <v/>
      </c>
      <c r="S16" s="60">
        <f>IF(ISNUMBER($C16),MAX(0,S$4-MAX(S$3,$C16)+1)*$H16,0)</f>
        <v/>
      </c>
      <c r="T16" s="60">
        <f>IF(ISNUMBER($C16),MAX(0,T$4-MAX(T$3,$C16)+1)*$H16,0)</f>
        <v/>
      </c>
      <c r="U16" s="60">
        <f>IF(ISNUMBER($C16),MAX(0,U$4-MAX(U$3,$C16)+1)*$H16,0)</f>
        <v/>
      </c>
      <c r="V16" s="60">
        <f>IF(ISNUMBER($C16),MAX(0,V$4-MAX(V$3,$C16)+1)*$H16,0)</f>
        <v/>
      </c>
      <c r="W16" s="60">
        <f>SUM(I16:V16)</f>
        <v/>
      </c>
    </row>
    <row r="17">
      <c r="A17" s="68">
        <f>'Outlet Plan'!A13</f>
        <v/>
      </c>
      <c r="B17" s="85">
        <f>'Outlet Plan'!B13</f>
        <v/>
      </c>
      <c r="C17" s="84">
        <f>'Outlet Plan'!C13</f>
        <v/>
      </c>
      <c r="D17" s="60">
        <f>IF(ROW()&lt;=8,'Q4 Assumptions'!$B$16,'Q4 Assumptions'!$B$17)</f>
        <v/>
      </c>
      <c r="E17" s="59" t="n">
        <v>0</v>
      </c>
      <c r="F17" s="60">
        <f>IF(ISNUMBER(C17),D17-E17,0)</f>
        <v/>
      </c>
      <c r="G17" s="67">
        <f>IF(ISNUMBER(C17),MAX(C17-'Q4 Assumptions'!$B$15,'Q4 Assumptions'!$B$5),"TBD")</f>
        <v/>
      </c>
      <c r="H17" s="58">
        <f>'Q4 Assumptions'!$B$13</f>
        <v/>
      </c>
      <c r="I17" s="60">
        <f>IF(ISNUMBER($C17),MAX(0,I$4-MAX(I$3,$C17)+1)*$H17,0)</f>
        <v/>
      </c>
      <c r="J17" s="60">
        <f>IF(ISNUMBER($C17),MAX(0,J$4-MAX(J$3,$C17)+1)*$H17,0)</f>
        <v/>
      </c>
      <c r="K17" s="60">
        <f>IF(ISNUMBER($C17),MAX(0,K$4-MAX(K$3,$C17)+1)*$H17,0)</f>
        <v/>
      </c>
      <c r="L17" s="60">
        <f>IF(ISNUMBER($C17),MAX(0,L$4-MAX(L$3,$C17)+1)*$H17,0)</f>
        <v/>
      </c>
      <c r="M17" s="60">
        <f>IF(ISNUMBER($C17),MAX(0,M$4-MAX(M$3,$C17)+1)*$H17,0)</f>
        <v/>
      </c>
      <c r="N17" s="60">
        <f>IF(ISNUMBER($C17),MAX(0,N$4-MAX(N$3,$C17)+1)*$H17,0)</f>
        <v/>
      </c>
      <c r="O17" s="60">
        <f>IF(ISNUMBER($C17),MAX(0,O$4-MAX(O$3,$C17)+1)*$H17,0)</f>
        <v/>
      </c>
      <c r="P17" s="60">
        <f>IF(ISNUMBER($C17),MAX(0,P$4-MAX(P$3,$C17)+1)*$H17,0)</f>
        <v/>
      </c>
      <c r="Q17" s="60">
        <f>IF(ISNUMBER($C17),MAX(0,Q$4-MAX(Q$3,$C17)+1)*$H17,0)</f>
        <v/>
      </c>
      <c r="R17" s="60">
        <f>IF(ISNUMBER($C17),MAX(0,R$4-MAX(R$3,$C17)+1)*$H17,0)</f>
        <v/>
      </c>
      <c r="S17" s="60">
        <f>IF(ISNUMBER($C17),MAX(0,S$4-MAX(S$3,$C17)+1)*$H17,0)</f>
        <v/>
      </c>
      <c r="T17" s="60">
        <f>IF(ISNUMBER($C17),MAX(0,T$4-MAX(T$3,$C17)+1)*$H17,0)</f>
        <v/>
      </c>
      <c r="U17" s="60">
        <f>IF(ISNUMBER($C17),MAX(0,U$4-MAX(U$3,$C17)+1)*$H17,0)</f>
        <v/>
      </c>
      <c r="V17" s="60">
        <f>IF(ISNUMBER($C17),MAX(0,V$4-MAX(V$3,$C17)+1)*$H17,0)</f>
        <v/>
      </c>
      <c r="W17" s="60">
        <f>SUM(I17:V17)</f>
        <v/>
      </c>
    </row>
    <row r="18">
      <c r="A18" s="51" t="n"/>
      <c r="B18" s="54" t="inlineStr">
        <is>
          <t>Total</t>
        </is>
      </c>
      <c r="C18" s="51" t="n"/>
      <c r="D18" s="86">
        <f>SUM(D6:D17)</f>
        <v/>
      </c>
      <c r="E18" s="86">
        <f>SUM(E6:E17)</f>
        <v/>
      </c>
      <c r="F18" s="86">
        <f>SUM(F6:F17)</f>
        <v/>
      </c>
      <c r="G18" s="51" t="n"/>
      <c r="H18" s="51" t="n"/>
      <c r="I18" s="86">
        <f>SUM(I6:I17)</f>
        <v/>
      </c>
      <c r="J18" s="86">
        <f>SUM(J6:J17)</f>
        <v/>
      </c>
      <c r="K18" s="86">
        <f>SUM(K6:K17)</f>
        <v/>
      </c>
      <c r="L18" s="86">
        <f>SUM(L6:L17)</f>
        <v/>
      </c>
      <c r="M18" s="86">
        <f>SUM(M6:M17)</f>
        <v/>
      </c>
      <c r="N18" s="86">
        <f>SUM(N6:N17)</f>
        <v/>
      </c>
      <c r="O18" s="86">
        <f>SUM(O6:O17)</f>
        <v/>
      </c>
      <c r="P18" s="86">
        <f>SUM(P6:P17)</f>
        <v/>
      </c>
      <c r="Q18" s="86">
        <f>SUM(Q6:Q17)</f>
        <v/>
      </c>
      <c r="R18" s="86">
        <f>SUM(R6:R17)</f>
        <v/>
      </c>
      <c r="S18" s="86">
        <f>SUM(S6:S17)</f>
        <v/>
      </c>
      <c r="T18" s="86">
        <f>SUM(T6:T17)</f>
        <v/>
      </c>
      <c r="U18" s="86">
        <f>SUM(U6:U17)</f>
        <v/>
      </c>
      <c r="V18" s="86">
        <f>SUM(V6:V17)</f>
        <v/>
      </c>
      <c r="W18" s="86">
        <f>SUM(W6:W17)</f>
        <v/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</row>
    <row r="20">
      <c r="A20" s="51" t="n"/>
      <c r="B20" s="57" t="inlineStr">
        <is>
          <t>New outlets opening 1 Oct–31 Dec</t>
        </is>
      </c>
      <c r="C20" s="87">
        <f>COUNTIFS(C6:C17,"&gt;="&amp;'Q4 Assumptions'!B5,C6:C17,"&lt;="&amp;'Q4 Assumptions'!B6)</f>
        <v/>
      </c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</row>
    <row r="21">
      <c r="A21" s="51" t="n"/>
      <c r="B21" s="57" t="inlineStr">
        <is>
          <t>Outlets operating at 31 Dec</t>
        </is>
      </c>
      <c r="C21" s="88">
        <f>'Q4 Assumptions'!B9+C20</f>
        <v/>
      </c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4" customWidth="1" min="17" max="17"/>
  </cols>
  <sheetData>
    <row r="1">
      <c r="A1" s="77" t="inlineStr">
        <is>
          <t>TGFB — Weekly Cash Flow Forecast, 1 Oct – 31 Dec 2026 (RM)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</row>
    <row r="2">
      <c r="A2" s="52" t="inlineStr">
        <is>
          <t>Weeks run Monday–Sunday (week 1 and week 14 are part-weeks). All drivers in 'Q4 Assumptions' and 'Q4 Outlet Schedule'.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</row>
    <row r="4">
      <c r="A4" s="51" t="n"/>
      <c r="B4" s="89" t="inlineStr">
        <is>
          <t>Week</t>
        </is>
      </c>
      <c r="C4" s="90" t="inlineStr">
        <is>
          <t>Wk 1</t>
        </is>
      </c>
      <c r="D4" s="90" t="inlineStr">
        <is>
          <t>Wk 2</t>
        </is>
      </c>
      <c r="E4" s="90" t="inlineStr">
        <is>
          <t>Wk 3</t>
        </is>
      </c>
      <c r="F4" s="90" t="inlineStr">
        <is>
          <t>Wk 4</t>
        </is>
      </c>
      <c r="G4" s="90" t="inlineStr">
        <is>
          <t>Wk 5</t>
        </is>
      </c>
      <c r="H4" s="90" t="inlineStr">
        <is>
          <t>Wk 6</t>
        </is>
      </c>
      <c r="I4" s="90" t="inlineStr">
        <is>
          <t>Wk 7</t>
        </is>
      </c>
      <c r="J4" s="90" t="inlineStr">
        <is>
          <t>Wk 8</t>
        </is>
      </c>
      <c r="K4" s="90" t="inlineStr">
        <is>
          <t>Wk 9</t>
        </is>
      </c>
      <c r="L4" s="90" t="inlineStr">
        <is>
          <t>Wk 10</t>
        </is>
      </c>
      <c r="M4" s="90" t="inlineStr">
        <is>
          <t>Wk 11</t>
        </is>
      </c>
      <c r="N4" s="90" t="inlineStr">
        <is>
          <t>Wk 12</t>
        </is>
      </c>
      <c r="O4" s="90" t="inlineStr">
        <is>
          <t>Wk 13</t>
        </is>
      </c>
      <c r="P4" s="90" t="inlineStr">
        <is>
          <t>Wk 14</t>
        </is>
      </c>
      <c r="Q4" s="90" t="inlineStr">
        <is>
          <t>Q4 Total</t>
        </is>
      </c>
    </row>
    <row r="5">
      <c r="A5" s="51" t="n"/>
      <c r="B5" s="89" t="inlineStr">
        <is>
          <t>Week start</t>
        </is>
      </c>
      <c r="C5" s="91">
        <f>'Q4 Assumptions'!B5</f>
        <v/>
      </c>
      <c r="D5" s="92">
        <f>C6+1</f>
        <v/>
      </c>
      <c r="E5" s="92">
        <f>D6+1</f>
        <v/>
      </c>
      <c r="F5" s="92">
        <f>E6+1</f>
        <v/>
      </c>
      <c r="G5" s="92">
        <f>F6+1</f>
        <v/>
      </c>
      <c r="H5" s="92">
        <f>G6+1</f>
        <v/>
      </c>
      <c r="I5" s="92">
        <f>H6+1</f>
        <v/>
      </c>
      <c r="J5" s="92">
        <f>I6+1</f>
        <v/>
      </c>
      <c r="K5" s="92">
        <f>J6+1</f>
        <v/>
      </c>
      <c r="L5" s="92">
        <f>K6+1</f>
        <v/>
      </c>
      <c r="M5" s="92">
        <f>L6+1</f>
        <v/>
      </c>
      <c r="N5" s="92">
        <f>M6+1</f>
        <v/>
      </c>
      <c r="O5" s="92">
        <f>N6+1</f>
        <v/>
      </c>
      <c r="P5" s="92">
        <f>O6+1</f>
        <v/>
      </c>
      <c r="Q5" s="93" t="n"/>
    </row>
    <row r="6">
      <c r="A6" s="51" t="n"/>
      <c r="B6" s="89" t="inlineStr">
        <is>
          <t>Week end</t>
        </is>
      </c>
      <c r="C6" s="92">
        <f>MIN(C5+6-MOD(C5-2,7),'Q4 Assumptions'!$B$6)</f>
        <v/>
      </c>
      <c r="D6" s="92">
        <f>MIN(D5+6-MOD(D5-2,7),'Q4 Assumptions'!$B$6)</f>
        <v/>
      </c>
      <c r="E6" s="92">
        <f>MIN(E5+6-MOD(E5-2,7),'Q4 Assumptions'!$B$6)</f>
        <v/>
      </c>
      <c r="F6" s="92">
        <f>MIN(F5+6-MOD(F5-2,7),'Q4 Assumptions'!$B$6)</f>
        <v/>
      </c>
      <c r="G6" s="92">
        <f>MIN(G5+6-MOD(G5-2,7),'Q4 Assumptions'!$B$6)</f>
        <v/>
      </c>
      <c r="H6" s="92">
        <f>MIN(H5+6-MOD(H5-2,7),'Q4 Assumptions'!$B$6)</f>
        <v/>
      </c>
      <c r="I6" s="92">
        <f>MIN(I5+6-MOD(I5-2,7),'Q4 Assumptions'!$B$6)</f>
        <v/>
      </c>
      <c r="J6" s="92">
        <f>MIN(J5+6-MOD(J5-2,7),'Q4 Assumptions'!$B$6)</f>
        <v/>
      </c>
      <c r="K6" s="92">
        <f>MIN(K5+6-MOD(K5-2,7),'Q4 Assumptions'!$B$6)</f>
        <v/>
      </c>
      <c r="L6" s="92">
        <f>MIN(L5+6-MOD(L5-2,7),'Q4 Assumptions'!$B$6)</f>
        <v/>
      </c>
      <c r="M6" s="92">
        <f>MIN(M5+6-MOD(M5-2,7),'Q4 Assumptions'!$B$6)</f>
        <v/>
      </c>
      <c r="N6" s="92">
        <f>MIN(N5+6-MOD(N5-2,7),'Q4 Assumptions'!$B$6)</f>
        <v/>
      </c>
      <c r="O6" s="92">
        <f>MIN(O5+6-MOD(O5-2,7),'Q4 Assumptions'!$B$6)</f>
        <v/>
      </c>
      <c r="P6" s="92">
        <f>MIN(P5+6-MOD(P5-2,7),'Q4 Assumptions'!$B$6)</f>
        <v/>
      </c>
      <c r="Q6" s="93" t="n"/>
    </row>
    <row r="7">
      <c r="A7" s="51" t="n"/>
      <c r="B7" s="89" t="inlineStr">
        <is>
          <t>Days</t>
        </is>
      </c>
      <c r="C7" s="94">
        <f>C6-C5+1</f>
        <v/>
      </c>
      <c r="D7" s="94">
        <f>D6-D5+1</f>
        <v/>
      </c>
      <c r="E7" s="94">
        <f>E6-E5+1</f>
        <v/>
      </c>
      <c r="F7" s="94">
        <f>F6-F5+1</f>
        <v/>
      </c>
      <c r="G7" s="94">
        <f>G6-G5+1</f>
        <v/>
      </c>
      <c r="H7" s="94">
        <f>H6-H5+1</f>
        <v/>
      </c>
      <c r="I7" s="94">
        <f>I6-I5+1</f>
        <v/>
      </c>
      <c r="J7" s="94">
        <f>J6-J5+1</f>
        <v/>
      </c>
      <c r="K7" s="94">
        <f>K6-K5+1</f>
        <v/>
      </c>
      <c r="L7" s="94">
        <f>L6-L5+1</f>
        <v/>
      </c>
      <c r="M7" s="94">
        <f>M6-M5+1</f>
        <v/>
      </c>
      <c r="N7" s="94">
        <f>N6-N5+1</f>
        <v/>
      </c>
      <c r="O7" s="94">
        <f>O6-O5+1</f>
        <v/>
      </c>
      <c r="P7" s="94">
        <f>P6-P5+1</f>
        <v/>
      </c>
      <c r="Q7" s="94">
        <f>SUM(C7:P7)</f>
        <v/>
      </c>
    </row>
    <row r="8">
      <c r="A8" s="51" t="n"/>
      <c r="B8" s="51" t="n"/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</row>
    <row r="9">
      <c r="A9" s="65" t="inlineStr">
        <is>
          <t>MAYBANK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</row>
    <row r="10">
      <c r="A10" s="51" t="n"/>
      <c r="B10" s="54" t="inlineStr">
        <is>
          <t>Opening balance</t>
        </is>
      </c>
      <c r="C10" s="56">
        <f>'Q4 Assumptions'!B7</f>
        <v/>
      </c>
      <c r="D10" s="56">
        <f>C28</f>
        <v/>
      </c>
      <c r="E10" s="56">
        <f>D28</f>
        <v/>
      </c>
      <c r="F10" s="56">
        <f>E28</f>
        <v/>
      </c>
      <c r="G10" s="56">
        <f>F28</f>
        <v/>
      </c>
      <c r="H10" s="56">
        <f>G28</f>
        <v/>
      </c>
      <c r="I10" s="56">
        <f>H28</f>
        <v/>
      </c>
      <c r="J10" s="56">
        <f>I28</f>
        <v/>
      </c>
      <c r="K10" s="56">
        <f>J28</f>
        <v/>
      </c>
      <c r="L10" s="56">
        <f>K28</f>
        <v/>
      </c>
      <c r="M10" s="56">
        <f>L28</f>
        <v/>
      </c>
      <c r="N10" s="56">
        <f>M28</f>
        <v/>
      </c>
      <c r="O10" s="56">
        <f>N28</f>
        <v/>
      </c>
      <c r="P10" s="56">
        <f>O28</f>
        <v/>
      </c>
      <c r="Q10" s="86">
        <f>C10</f>
        <v/>
      </c>
    </row>
    <row r="11">
      <c r="A11" s="51" t="n"/>
      <c r="B11" s="54" t="inlineStr">
        <is>
          <t>Cash in</t>
        </is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</row>
    <row r="12">
      <c r="A12" s="51" t="n"/>
      <c r="B12" s="57" t="inlineStr">
        <is>
          <t xml:space="preserve">   Sales — existing 34 outlets (Sep run-rate)</t>
        </is>
      </c>
      <c r="C12" s="60">
        <f>'Q4 Assumptions'!$B$27*C$7</f>
        <v/>
      </c>
      <c r="D12" s="60">
        <f>'Q4 Assumptions'!$B$27*D$7</f>
        <v/>
      </c>
      <c r="E12" s="60">
        <f>'Q4 Assumptions'!$B$27*E$7</f>
        <v/>
      </c>
      <c r="F12" s="60">
        <f>'Q4 Assumptions'!$B$27*F$7</f>
        <v/>
      </c>
      <c r="G12" s="60">
        <f>'Q4 Assumptions'!$B$27*G$7</f>
        <v/>
      </c>
      <c r="H12" s="60">
        <f>'Q4 Assumptions'!$B$27*H$7</f>
        <v/>
      </c>
      <c r="I12" s="60">
        <f>'Q4 Assumptions'!$B$27*I$7</f>
        <v/>
      </c>
      <c r="J12" s="60">
        <f>'Q4 Assumptions'!$B$27*J$7</f>
        <v/>
      </c>
      <c r="K12" s="60">
        <f>'Q4 Assumptions'!$B$27*K$7</f>
        <v/>
      </c>
      <c r="L12" s="60">
        <f>'Q4 Assumptions'!$B$27*L$7</f>
        <v/>
      </c>
      <c r="M12" s="60">
        <f>'Q4 Assumptions'!$B$27*M$7</f>
        <v/>
      </c>
      <c r="N12" s="60">
        <f>'Q4 Assumptions'!$B$27*N$7</f>
        <v/>
      </c>
      <c r="O12" s="60">
        <f>'Q4 Assumptions'!$B$27*O$7</f>
        <v/>
      </c>
      <c r="P12" s="60">
        <f>'Q4 Assumptions'!$B$27*P$7</f>
        <v/>
      </c>
      <c r="Q12" s="86">
        <f>SUM(C12:P12)</f>
        <v/>
      </c>
    </row>
    <row r="13">
      <c r="A13" s="51" t="n"/>
      <c r="B13" s="57" t="inlineStr">
        <is>
          <t xml:space="preserve">   Sales — new outlets (RM8k/day from GO)</t>
        </is>
      </c>
      <c r="C13" s="58">
        <f>'Q4 Outlet Schedule'!I18</f>
        <v/>
      </c>
      <c r="D13" s="58">
        <f>'Q4 Outlet Schedule'!J18</f>
        <v/>
      </c>
      <c r="E13" s="58">
        <f>'Q4 Outlet Schedule'!K18</f>
        <v/>
      </c>
      <c r="F13" s="58">
        <f>'Q4 Outlet Schedule'!L18</f>
        <v/>
      </c>
      <c r="G13" s="58">
        <f>'Q4 Outlet Schedule'!M18</f>
        <v/>
      </c>
      <c r="H13" s="58">
        <f>'Q4 Outlet Schedule'!N18</f>
        <v/>
      </c>
      <c r="I13" s="58">
        <f>'Q4 Outlet Schedule'!O18</f>
        <v/>
      </c>
      <c r="J13" s="58">
        <f>'Q4 Outlet Schedule'!P18</f>
        <v/>
      </c>
      <c r="K13" s="58">
        <f>'Q4 Outlet Schedule'!Q18</f>
        <v/>
      </c>
      <c r="L13" s="58">
        <f>'Q4 Outlet Schedule'!R18</f>
        <v/>
      </c>
      <c r="M13" s="58">
        <f>'Q4 Outlet Schedule'!S18</f>
        <v/>
      </c>
      <c r="N13" s="58">
        <f>'Q4 Outlet Schedule'!T18</f>
        <v/>
      </c>
      <c r="O13" s="58">
        <f>'Q4 Outlet Schedule'!U18</f>
        <v/>
      </c>
      <c r="P13" s="58">
        <f>'Q4 Outlet Schedule'!V18</f>
        <v/>
      </c>
      <c r="Q13" s="86">
        <f>SUM(C13:P13)</f>
        <v/>
      </c>
    </row>
    <row r="14">
      <c r="A14" s="51" t="n"/>
      <c r="B14" s="57" t="inlineStr">
        <is>
          <t xml:space="preserve">   Investor funds</t>
        </is>
      </c>
      <c r="C14" s="60">
        <f>SUMIFS('Q4 Assumptions'!$C$42:$C$58,'Q4 Assumptions'!$D$42:$D$58,"Investor",'Q4 Assumptions'!$B$42:$B$58,"&gt;="&amp;C$5,'Q4 Assumptions'!$B$42:$B$58,"&lt;="&amp;C$6)</f>
        <v/>
      </c>
      <c r="D14" s="60">
        <f>SUMIFS('Q4 Assumptions'!$C$42:$C$58,'Q4 Assumptions'!$D$42:$D$58,"Investor",'Q4 Assumptions'!$B$42:$B$58,"&gt;="&amp;D$5,'Q4 Assumptions'!$B$42:$B$58,"&lt;="&amp;D$6)</f>
        <v/>
      </c>
      <c r="E14" s="60">
        <f>SUMIFS('Q4 Assumptions'!$C$42:$C$58,'Q4 Assumptions'!$D$42:$D$58,"Investor",'Q4 Assumptions'!$B$42:$B$58,"&gt;="&amp;E$5,'Q4 Assumptions'!$B$42:$B$58,"&lt;="&amp;E$6)</f>
        <v/>
      </c>
      <c r="F14" s="60">
        <f>SUMIFS('Q4 Assumptions'!$C$42:$C$58,'Q4 Assumptions'!$D$42:$D$58,"Investor",'Q4 Assumptions'!$B$42:$B$58,"&gt;="&amp;F$5,'Q4 Assumptions'!$B$42:$B$58,"&lt;="&amp;F$6)</f>
        <v/>
      </c>
      <c r="G14" s="60">
        <f>SUMIFS('Q4 Assumptions'!$C$42:$C$58,'Q4 Assumptions'!$D$42:$D$58,"Investor",'Q4 Assumptions'!$B$42:$B$58,"&gt;="&amp;G$5,'Q4 Assumptions'!$B$42:$B$58,"&lt;="&amp;G$6)</f>
        <v/>
      </c>
      <c r="H14" s="60">
        <f>SUMIFS('Q4 Assumptions'!$C$42:$C$58,'Q4 Assumptions'!$D$42:$D$58,"Investor",'Q4 Assumptions'!$B$42:$B$58,"&gt;="&amp;H$5,'Q4 Assumptions'!$B$42:$B$58,"&lt;="&amp;H$6)</f>
        <v/>
      </c>
      <c r="I14" s="60">
        <f>SUMIFS('Q4 Assumptions'!$C$42:$C$58,'Q4 Assumptions'!$D$42:$D$58,"Investor",'Q4 Assumptions'!$B$42:$B$58,"&gt;="&amp;I$5,'Q4 Assumptions'!$B$42:$B$58,"&lt;="&amp;I$6)</f>
        <v/>
      </c>
      <c r="J14" s="60">
        <f>SUMIFS('Q4 Assumptions'!$C$42:$C$58,'Q4 Assumptions'!$D$42:$D$58,"Investor",'Q4 Assumptions'!$B$42:$B$58,"&gt;="&amp;J$5,'Q4 Assumptions'!$B$42:$B$58,"&lt;="&amp;J$6)</f>
        <v/>
      </c>
      <c r="K14" s="60">
        <f>SUMIFS('Q4 Assumptions'!$C$42:$C$58,'Q4 Assumptions'!$D$42:$D$58,"Investor",'Q4 Assumptions'!$B$42:$B$58,"&gt;="&amp;K$5,'Q4 Assumptions'!$B$42:$B$58,"&lt;="&amp;K$6)</f>
        <v/>
      </c>
      <c r="L14" s="60">
        <f>SUMIFS('Q4 Assumptions'!$C$42:$C$58,'Q4 Assumptions'!$D$42:$D$58,"Investor",'Q4 Assumptions'!$B$42:$B$58,"&gt;="&amp;L$5,'Q4 Assumptions'!$B$42:$B$58,"&lt;="&amp;L$6)</f>
        <v/>
      </c>
      <c r="M14" s="60">
        <f>SUMIFS('Q4 Assumptions'!$C$42:$C$58,'Q4 Assumptions'!$D$42:$D$58,"Investor",'Q4 Assumptions'!$B$42:$B$58,"&gt;="&amp;M$5,'Q4 Assumptions'!$B$42:$B$58,"&lt;="&amp;M$6)</f>
        <v/>
      </c>
      <c r="N14" s="60">
        <f>SUMIFS('Q4 Assumptions'!$C$42:$C$58,'Q4 Assumptions'!$D$42:$D$58,"Investor",'Q4 Assumptions'!$B$42:$B$58,"&gt;="&amp;N$5,'Q4 Assumptions'!$B$42:$B$58,"&lt;="&amp;N$6)</f>
        <v/>
      </c>
      <c r="O14" s="60">
        <f>SUMIFS('Q4 Assumptions'!$C$42:$C$58,'Q4 Assumptions'!$D$42:$D$58,"Investor",'Q4 Assumptions'!$B$42:$B$58,"&gt;="&amp;O$5,'Q4 Assumptions'!$B$42:$B$58,"&lt;="&amp;O$6)</f>
        <v/>
      </c>
      <c r="P14" s="60">
        <f>SUMIFS('Q4 Assumptions'!$C$42:$C$58,'Q4 Assumptions'!$D$42:$D$58,"Investor",'Q4 Assumptions'!$B$42:$B$58,"&gt;="&amp;P$5,'Q4 Assumptions'!$B$42:$B$58,"&lt;="&amp;P$6)</f>
        <v/>
      </c>
      <c r="Q14" s="86">
        <f>SUM(C14:P14)</f>
        <v/>
      </c>
    </row>
    <row r="15">
      <c r="A15" s="51" t="n"/>
      <c r="B15" s="54" t="inlineStr">
        <is>
          <t>Total cash in</t>
        </is>
      </c>
      <c r="C15" s="61">
        <f>SUM(C12:C14)</f>
        <v/>
      </c>
      <c r="D15" s="61">
        <f>SUM(D12:D14)</f>
        <v/>
      </c>
      <c r="E15" s="61">
        <f>SUM(E12:E14)</f>
        <v/>
      </c>
      <c r="F15" s="61">
        <f>SUM(F12:F14)</f>
        <v/>
      </c>
      <c r="G15" s="61">
        <f>SUM(G12:G14)</f>
        <v/>
      </c>
      <c r="H15" s="61">
        <f>SUM(H12:H14)</f>
        <v/>
      </c>
      <c r="I15" s="61">
        <f>SUM(I12:I14)</f>
        <v/>
      </c>
      <c r="J15" s="61">
        <f>SUM(J12:J14)</f>
        <v/>
      </c>
      <c r="K15" s="61">
        <f>SUM(K12:K14)</f>
        <v/>
      </c>
      <c r="L15" s="61">
        <f>SUM(L12:L14)</f>
        <v/>
      </c>
      <c r="M15" s="61">
        <f>SUM(M12:M14)</f>
        <v/>
      </c>
      <c r="N15" s="61">
        <f>SUM(N12:N14)</f>
        <v/>
      </c>
      <c r="O15" s="61">
        <f>SUM(O12:O14)</f>
        <v/>
      </c>
      <c r="P15" s="61">
        <f>SUM(P12:P14)</f>
        <v/>
      </c>
      <c r="Q15" s="95">
        <f>SUM(C15:P15)</f>
        <v/>
      </c>
    </row>
    <row r="16">
      <c r="A16" s="51" t="n"/>
      <c r="B16" s="54" t="inlineStr">
        <is>
          <t>Cash out</t>
        </is>
      </c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</row>
    <row r="17">
      <c r="A17" s="51" t="n"/>
      <c r="B17" s="57" t="inlineStr">
        <is>
          <t xml:space="preserve">   Operating costs — existing 34 outlets (Sep run-rate)</t>
        </is>
      </c>
      <c r="C17" s="60">
        <f>'Q4 Assumptions'!$B$33*C$7</f>
        <v/>
      </c>
      <c r="D17" s="60">
        <f>'Q4 Assumptions'!$B$33*D$7</f>
        <v/>
      </c>
      <c r="E17" s="60">
        <f>'Q4 Assumptions'!$B$33*E$7</f>
        <v/>
      </c>
      <c r="F17" s="60">
        <f>'Q4 Assumptions'!$B$33*F$7</f>
        <v/>
      </c>
      <c r="G17" s="60">
        <f>'Q4 Assumptions'!$B$33*G$7</f>
        <v/>
      </c>
      <c r="H17" s="60">
        <f>'Q4 Assumptions'!$B$33*H$7</f>
        <v/>
      </c>
      <c r="I17" s="60">
        <f>'Q4 Assumptions'!$B$33*I$7</f>
        <v/>
      </c>
      <c r="J17" s="60">
        <f>'Q4 Assumptions'!$B$33*J$7</f>
        <v/>
      </c>
      <c r="K17" s="60">
        <f>'Q4 Assumptions'!$B$33*K$7</f>
        <v/>
      </c>
      <c r="L17" s="60">
        <f>'Q4 Assumptions'!$B$33*L$7</f>
        <v/>
      </c>
      <c r="M17" s="60">
        <f>'Q4 Assumptions'!$B$33*M$7</f>
        <v/>
      </c>
      <c r="N17" s="60">
        <f>'Q4 Assumptions'!$B$33*N$7</f>
        <v/>
      </c>
      <c r="O17" s="60">
        <f>'Q4 Assumptions'!$B$33*O$7</f>
        <v/>
      </c>
      <c r="P17" s="60">
        <f>'Q4 Assumptions'!$B$33*P$7</f>
        <v/>
      </c>
      <c r="Q17" s="86">
        <f>SUM(C17:P17)</f>
        <v/>
      </c>
    </row>
    <row r="18">
      <c r="A18" s="51" t="n"/>
      <c r="B18" s="57" t="inlineStr">
        <is>
          <t xml:space="preserve">   Running cost new outlets — wages &amp; rental (15% of sales)</t>
        </is>
      </c>
      <c r="C18" s="60">
        <f>C13*'Q4 Assumptions'!$B$14</f>
        <v/>
      </c>
      <c r="D18" s="60">
        <f>D13*'Q4 Assumptions'!$B$14</f>
        <v/>
      </c>
      <c r="E18" s="60">
        <f>E13*'Q4 Assumptions'!$B$14</f>
        <v/>
      </c>
      <c r="F18" s="60">
        <f>F13*'Q4 Assumptions'!$B$14</f>
        <v/>
      </c>
      <c r="G18" s="60">
        <f>G13*'Q4 Assumptions'!$B$14</f>
        <v/>
      </c>
      <c r="H18" s="60">
        <f>H13*'Q4 Assumptions'!$B$14</f>
        <v/>
      </c>
      <c r="I18" s="60">
        <f>I13*'Q4 Assumptions'!$B$14</f>
        <v/>
      </c>
      <c r="J18" s="60">
        <f>J13*'Q4 Assumptions'!$B$14</f>
        <v/>
      </c>
      <c r="K18" s="60">
        <f>K13*'Q4 Assumptions'!$B$14</f>
        <v/>
      </c>
      <c r="L18" s="60">
        <f>L13*'Q4 Assumptions'!$B$14</f>
        <v/>
      </c>
      <c r="M18" s="60">
        <f>M13*'Q4 Assumptions'!$B$14</f>
        <v/>
      </c>
      <c r="N18" s="60">
        <f>N13*'Q4 Assumptions'!$B$14</f>
        <v/>
      </c>
      <c r="O18" s="60">
        <f>O13*'Q4 Assumptions'!$B$14</f>
        <v/>
      </c>
      <c r="P18" s="60">
        <f>P13*'Q4 Assumptions'!$B$14</f>
        <v/>
      </c>
      <c r="Q18" s="86">
        <f>SUM(C18:P18)</f>
        <v/>
      </c>
    </row>
    <row r="19">
      <c r="A19" s="51" t="n"/>
      <c r="B19" s="57" t="inlineStr">
        <is>
          <t xml:space="preserve">   Capex — new outlets</t>
        </is>
      </c>
      <c r="C19" s="60">
        <f>SUMIFS('Q4 Outlet Schedule'!$F$6:$F$17,'Q4 Outlet Schedule'!$G$6:$G$17,"&gt;="&amp;C$5,'Q4 Outlet Schedule'!$G$6:$G$17,"&lt;="&amp;C$6)</f>
        <v/>
      </c>
      <c r="D19" s="60">
        <f>SUMIFS('Q4 Outlet Schedule'!$F$6:$F$17,'Q4 Outlet Schedule'!$G$6:$G$17,"&gt;="&amp;D$5,'Q4 Outlet Schedule'!$G$6:$G$17,"&lt;="&amp;D$6)</f>
        <v/>
      </c>
      <c r="E19" s="60">
        <f>SUMIFS('Q4 Outlet Schedule'!$F$6:$F$17,'Q4 Outlet Schedule'!$G$6:$G$17,"&gt;="&amp;E$5,'Q4 Outlet Schedule'!$G$6:$G$17,"&lt;="&amp;E$6)</f>
        <v/>
      </c>
      <c r="F19" s="60">
        <f>SUMIFS('Q4 Outlet Schedule'!$F$6:$F$17,'Q4 Outlet Schedule'!$G$6:$G$17,"&gt;="&amp;F$5,'Q4 Outlet Schedule'!$G$6:$G$17,"&lt;="&amp;F$6)</f>
        <v/>
      </c>
      <c r="G19" s="60">
        <f>SUMIFS('Q4 Outlet Schedule'!$F$6:$F$17,'Q4 Outlet Schedule'!$G$6:$G$17,"&gt;="&amp;G$5,'Q4 Outlet Schedule'!$G$6:$G$17,"&lt;="&amp;G$6)</f>
        <v/>
      </c>
      <c r="H19" s="60">
        <f>SUMIFS('Q4 Outlet Schedule'!$F$6:$F$17,'Q4 Outlet Schedule'!$G$6:$G$17,"&gt;="&amp;H$5,'Q4 Outlet Schedule'!$G$6:$G$17,"&lt;="&amp;H$6)</f>
        <v/>
      </c>
      <c r="I19" s="60">
        <f>SUMIFS('Q4 Outlet Schedule'!$F$6:$F$17,'Q4 Outlet Schedule'!$G$6:$G$17,"&gt;="&amp;I$5,'Q4 Outlet Schedule'!$G$6:$G$17,"&lt;="&amp;I$6)</f>
        <v/>
      </c>
      <c r="J19" s="60">
        <f>SUMIFS('Q4 Outlet Schedule'!$F$6:$F$17,'Q4 Outlet Schedule'!$G$6:$G$17,"&gt;="&amp;J$5,'Q4 Outlet Schedule'!$G$6:$G$17,"&lt;="&amp;J$6)</f>
        <v/>
      </c>
      <c r="K19" s="60">
        <f>SUMIFS('Q4 Outlet Schedule'!$F$6:$F$17,'Q4 Outlet Schedule'!$G$6:$G$17,"&gt;="&amp;K$5,'Q4 Outlet Schedule'!$G$6:$G$17,"&lt;="&amp;K$6)</f>
        <v/>
      </c>
      <c r="L19" s="60">
        <f>SUMIFS('Q4 Outlet Schedule'!$F$6:$F$17,'Q4 Outlet Schedule'!$G$6:$G$17,"&gt;="&amp;L$5,'Q4 Outlet Schedule'!$G$6:$G$17,"&lt;="&amp;L$6)</f>
        <v/>
      </c>
      <c r="M19" s="60">
        <f>SUMIFS('Q4 Outlet Schedule'!$F$6:$F$17,'Q4 Outlet Schedule'!$G$6:$G$17,"&gt;="&amp;M$5,'Q4 Outlet Schedule'!$G$6:$G$17,"&lt;="&amp;M$6)</f>
        <v/>
      </c>
      <c r="N19" s="60">
        <f>SUMIFS('Q4 Outlet Schedule'!$F$6:$F$17,'Q4 Outlet Schedule'!$G$6:$G$17,"&gt;="&amp;N$5,'Q4 Outlet Schedule'!$G$6:$G$17,"&lt;="&amp;N$6)</f>
        <v/>
      </c>
      <c r="O19" s="60">
        <f>SUMIFS('Q4 Outlet Schedule'!$F$6:$F$17,'Q4 Outlet Schedule'!$G$6:$G$17,"&gt;="&amp;O$5,'Q4 Outlet Schedule'!$G$6:$G$17,"&lt;="&amp;O$6)</f>
        <v/>
      </c>
      <c r="P19" s="60">
        <f>SUMIFS('Q4 Outlet Schedule'!$F$6:$F$17,'Q4 Outlet Schedule'!$G$6:$G$17,"&gt;="&amp;P$5,'Q4 Outlet Schedule'!$G$6:$G$17,"&lt;="&amp;P$6)</f>
        <v/>
      </c>
      <c r="Q19" s="86">
        <f>SUM(C19:P19)</f>
        <v/>
      </c>
    </row>
    <row r="20">
      <c r="A20" s="51" t="n"/>
      <c r="B20" s="57" t="inlineStr">
        <is>
          <t xml:space="preserve">   Deposits — 5 new outlets</t>
        </is>
      </c>
      <c r="C20" s="60">
        <f>SUMIFS('Q4 Assumptions'!$C$42:$C$58,'Q4 Assumptions'!$D$42:$D$58,"Deposit",'Q4 Assumptions'!$B$42:$B$58,"&gt;="&amp;C$5,'Q4 Assumptions'!$B$42:$B$58,"&lt;="&amp;C$6)</f>
        <v/>
      </c>
      <c r="D20" s="60">
        <f>SUMIFS('Q4 Assumptions'!$C$42:$C$58,'Q4 Assumptions'!$D$42:$D$58,"Deposit",'Q4 Assumptions'!$B$42:$B$58,"&gt;="&amp;D$5,'Q4 Assumptions'!$B$42:$B$58,"&lt;="&amp;D$6)</f>
        <v/>
      </c>
      <c r="E20" s="60">
        <f>SUMIFS('Q4 Assumptions'!$C$42:$C$58,'Q4 Assumptions'!$D$42:$D$58,"Deposit",'Q4 Assumptions'!$B$42:$B$58,"&gt;="&amp;E$5,'Q4 Assumptions'!$B$42:$B$58,"&lt;="&amp;E$6)</f>
        <v/>
      </c>
      <c r="F20" s="60">
        <f>SUMIFS('Q4 Assumptions'!$C$42:$C$58,'Q4 Assumptions'!$D$42:$D$58,"Deposit",'Q4 Assumptions'!$B$42:$B$58,"&gt;="&amp;F$5,'Q4 Assumptions'!$B$42:$B$58,"&lt;="&amp;F$6)</f>
        <v/>
      </c>
      <c r="G20" s="60">
        <f>SUMIFS('Q4 Assumptions'!$C$42:$C$58,'Q4 Assumptions'!$D$42:$D$58,"Deposit",'Q4 Assumptions'!$B$42:$B$58,"&gt;="&amp;G$5,'Q4 Assumptions'!$B$42:$B$58,"&lt;="&amp;G$6)</f>
        <v/>
      </c>
      <c r="H20" s="60">
        <f>SUMIFS('Q4 Assumptions'!$C$42:$C$58,'Q4 Assumptions'!$D$42:$D$58,"Deposit",'Q4 Assumptions'!$B$42:$B$58,"&gt;="&amp;H$5,'Q4 Assumptions'!$B$42:$B$58,"&lt;="&amp;H$6)</f>
        <v/>
      </c>
      <c r="I20" s="60">
        <f>SUMIFS('Q4 Assumptions'!$C$42:$C$58,'Q4 Assumptions'!$D$42:$D$58,"Deposit",'Q4 Assumptions'!$B$42:$B$58,"&gt;="&amp;I$5,'Q4 Assumptions'!$B$42:$B$58,"&lt;="&amp;I$6)</f>
        <v/>
      </c>
      <c r="J20" s="60">
        <f>SUMIFS('Q4 Assumptions'!$C$42:$C$58,'Q4 Assumptions'!$D$42:$D$58,"Deposit",'Q4 Assumptions'!$B$42:$B$58,"&gt;="&amp;J$5,'Q4 Assumptions'!$B$42:$B$58,"&lt;="&amp;J$6)</f>
        <v/>
      </c>
      <c r="K20" s="60">
        <f>SUMIFS('Q4 Assumptions'!$C$42:$C$58,'Q4 Assumptions'!$D$42:$D$58,"Deposit",'Q4 Assumptions'!$B$42:$B$58,"&gt;="&amp;K$5,'Q4 Assumptions'!$B$42:$B$58,"&lt;="&amp;K$6)</f>
        <v/>
      </c>
      <c r="L20" s="60">
        <f>SUMIFS('Q4 Assumptions'!$C$42:$C$58,'Q4 Assumptions'!$D$42:$D$58,"Deposit",'Q4 Assumptions'!$B$42:$B$58,"&gt;="&amp;L$5,'Q4 Assumptions'!$B$42:$B$58,"&lt;="&amp;L$6)</f>
        <v/>
      </c>
      <c r="M20" s="60">
        <f>SUMIFS('Q4 Assumptions'!$C$42:$C$58,'Q4 Assumptions'!$D$42:$D$58,"Deposit",'Q4 Assumptions'!$B$42:$B$58,"&gt;="&amp;M$5,'Q4 Assumptions'!$B$42:$B$58,"&lt;="&amp;M$6)</f>
        <v/>
      </c>
      <c r="N20" s="60">
        <f>SUMIFS('Q4 Assumptions'!$C$42:$C$58,'Q4 Assumptions'!$D$42:$D$58,"Deposit",'Q4 Assumptions'!$B$42:$B$58,"&gt;="&amp;N$5,'Q4 Assumptions'!$B$42:$B$58,"&lt;="&amp;N$6)</f>
        <v/>
      </c>
      <c r="O20" s="60">
        <f>SUMIFS('Q4 Assumptions'!$C$42:$C$58,'Q4 Assumptions'!$D$42:$D$58,"Deposit",'Q4 Assumptions'!$B$42:$B$58,"&gt;="&amp;O$5,'Q4 Assumptions'!$B$42:$B$58,"&lt;="&amp;O$6)</f>
        <v/>
      </c>
      <c r="P20" s="60">
        <f>SUMIFS('Q4 Assumptions'!$C$42:$C$58,'Q4 Assumptions'!$D$42:$D$58,"Deposit",'Q4 Assumptions'!$B$42:$B$58,"&gt;="&amp;P$5,'Q4 Assumptions'!$B$42:$B$58,"&lt;="&amp;P$6)</f>
        <v/>
      </c>
      <c r="Q20" s="86">
        <f>SUM(C20:P20)</f>
        <v/>
      </c>
    </row>
    <row r="21">
      <c r="A21" s="51" t="n"/>
      <c r="B21" s="57" t="inlineStr">
        <is>
          <t xml:space="preserve">   Foreign worker expense</t>
        </is>
      </c>
      <c r="C21" s="60">
        <f>SUMIFS('Q4 Assumptions'!$C$42:$C$58,'Q4 Assumptions'!$D$42:$D$58,"Foreign worker",'Q4 Assumptions'!$B$42:$B$58,"&gt;="&amp;C$5,'Q4 Assumptions'!$B$42:$B$58,"&lt;="&amp;C$6)</f>
        <v/>
      </c>
      <c r="D21" s="60">
        <f>SUMIFS('Q4 Assumptions'!$C$42:$C$58,'Q4 Assumptions'!$D$42:$D$58,"Foreign worker",'Q4 Assumptions'!$B$42:$B$58,"&gt;="&amp;D$5,'Q4 Assumptions'!$B$42:$B$58,"&lt;="&amp;D$6)</f>
        <v/>
      </c>
      <c r="E21" s="60">
        <f>SUMIFS('Q4 Assumptions'!$C$42:$C$58,'Q4 Assumptions'!$D$42:$D$58,"Foreign worker",'Q4 Assumptions'!$B$42:$B$58,"&gt;="&amp;E$5,'Q4 Assumptions'!$B$42:$B$58,"&lt;="&amp;E$6)</f>
        <v/>
      </c>
      <c r="F21" s="60">
        <f>SUMIFS('Q4 Assumptions'!$C$42:$C$58,'Q4 Assumptions'!$D$42:$D$58,"Foreign worker",'Q4 Assumptions'!$B$42:$B$58,"&gt;="&amp;F$5,'Q4 Assumptions'!$B$42:$B$58,"&lt;="&amp;F$6)</f>
        <v/>
      </c>
      <c r="G21" s="60">
        <f>SUMIFS('Q4 Assumptions'!$C$42:$C$58,'Q4 Assumptions'!$D$42:$D$58,"Foreign worker",'Q4 Assumptions'!$B$42:$B$58,"&gt;="&amp;G$5,'Q4 Assumptions'!$B$42:$B$58,"&lt;="&amp;G$6)</f>
        <v/>
      </c>
      <c r="H21" s="60">
        <f>SUMIFS('Q4 Assumptions'!$C$42:$C$58,'Q4 Assumptions'!$D$42:$D$58,"Foreign worker",'Q4 Assumptions'!$B$42:$B$58,"&gt;="&amp;H$5,'Q4 Assumptions'!$B$42:$B$58,"&lt;="&amp;H$6)</f>
        <v/>
      </c>
      <c r="I21" s="60">
        <f>SUMIFS('Q4 Assumptions'!$C$42:$C$58,'Q4 Assumptions'!$D$42:$D$58,"Foreign worker",'Q4 Assumptions'!$B$42:$B$58,"&gt;="&amp;I$5,'Q4 Assumptions'!$B$42:$B$58,"&lt;="&amp;I$6)</f>
        <v/>
      </c>
      <c r="J21" s="60">
        <f>SUMIFS('Q4 Assumptions'!$C$42:$C$58,'Q4 Assumptions'!$D$42:$D$58,"Foreign worker",'Q4 Assumptions'!$B$42:$B$58,"&gt;="&amp;J$5,'Q4 Assumptions'!$B$42:$B$58,"&lt;="&amp;J$6)</f>
        <v/>
      </c>
      <c r="K21" s="60">
        <f>SUMIFS('Q4 Assumptions'!$C$42:$C$58,'Q4 Assumptions'!$D$42:$D$58,"Foreign worker",'Q4 Assumptions'!$B$42:$B$58,"&gt;="&amp;K$5,'Q4 Assumptions'!$B$42:$B$58,"&lt;="&amp;K$6)</f>
        <v/>
      </c>
      <c r="L21" s="60">
        <f>SUMIFS('Q4 Assumptions'!$C$42:$C$58,'Q4 Assumptions'!$D$42:$D$58,"Foreign worker",'Q4 Assumptions'!$B$42:$B$58,"&gt;="&amp;L$5,'Q4 Assumptions'!$B$42:$B$58,"&lt;="&amp;L$6)</f>
        <v/>
      </c>
      <c r="M21" s="60">
        <f>SUMIFS('Q4 Assumptions'!$C$42:$C$58,'Q4 Assumptions'!$D$42:$D$58,"Foreign worker",'Q4 Assumptions'!$B$42:$B$58,"&gt;="&amp;M$5,'Q4 Assumptions'!$B$42:$B$58,"&lt;="&amp;M$6)</f>
        <v/>
      </c>
      <c r="N21" s="60">
        <f>SUMIFS('Q4 Assumptions'!$C$42:$C$58,'Q4 Assumptions'!$D$42:$D$58,"Foreign worker",'Q4 Assumptions'!$B$42:$B$58,"&gt;="&amp;N$5,'Q4 Assumptions'!$B$42:$B$58,"&lt;="&amp;N$6)</f>
        <v/>
      </c>
      <c r="O21" s="60">
        <f>SUMIFS('Q4 Assumptions'!$C$42:$C$58,'Q4 Assumptions'!$D$42:$D$58,"Foreign worker",'Q4 Assumptions'!$B$42:$B$58,"&gt;="&amp;O$5,'Q4 Assumptions'!$B$42:$B$58,"&lt;="&amp;O$6)</f>
        <v/>
      </c>
      <c r="P21" s="60">
        <f>SUMIFS('Q4 Assumptions'!$C$42:$C$58,'Q4 Assumptions'!$D$42:$D$58,"Foreign worker",'Q4 Assumptions'!$B$42:$B$58,"&gt;="&amp;P$5,'Q4 Assumptions'!$B$42:$B$58,"&lt;="&amp;P$6)</f>
        <v/>
      </c>
      <c r="Q21" s="86">
        <f>SUM(C21:P21)</f>
        <v/>
      </c>
    </row>
    <row r="22">
      <c r="A22" s="51" t="n"/>
      <c r="B22" s="57" t="inlineStr">
        <is>
          <t xml:space="preserve">   Investment — Bebeks</t>
        </is>
      </c>
      <c r="C22" s="60">
        <f>SUMIFS('Q4 Assumptions'!$C$42:$C$58,'Q4 Assumptions'!$D$42:$D$58,"Bebeks",'Q4 Assumptions'!$B$42:$B$58,"&gt;="&amp;C$5,'Q4 Assumptions'!$B$42:$B$58,"&lt;="&amp;C$6)</f>
        <v/>
      </c>
      <c r="D22" s="60">
        <f>SUMIFS('Q4 Assumptions'!$C$42:$C$58,'Q4 Assumptions'!$D$42:$D$58,"Bebeks",'Q4 Assumptions'!$B$42:$B$58,"&gt;="&amp;D$5,'Q4 Assumptions'!$B$42:$B$58,"&lt;="&amp;D$6)</f>
        <v/>
      </c>
      <c r="E22" s="60">
        <f>SUMIFS('Q4 Assumptions'!$C$42:$C$58,'Q4 Assumptions'!$D$42:$D$58,"Bebeks",'Q4 Assumptions'!$B$42:$B$58,"&gt;="&amp;E$5,'Q4 Assumptions'!$B$42:$B$58,"&lt;="&amp;E$6)</f>
        <v/>
      </c>
      <c r="F22" s="60">
        <f>SUMIFS('Q4 Assumptions'!$C$42:$C$58,'Q4 Assumptions'!$D$42:$D$58,"Bebeks",'Q4 Assumptions'!$B$42:$B$58,"&gt;="&amp;F$5,'Q4 Assumptions'!$B$42:$B$58,"&lt;="&amp;F$6)</f>
        <v/>
      </c>
      <c r="G22" s="60">
        <f>SUMIFS('Q4 Assumptions'!$C$42:$C$58,'Q4 Assumptions'!$D$42:$D$58,"Bebeks",'Q4 Assumptions'!$B$42:$B$58,"&gt;="&amp;G$5,'Q4 Assumptions'!$B$42:$B$58,"&lt;="&amp;G$6)</f>
        <v/>
      </c>
      <c r="H22" s="60">
        <f>SUMIFS('Q4 Assumptions'!$C$42:$C$58,'Q4 Assumptions'!$D$42:$D$58,"Bebeks",'Q4 Assumptions'!$B$42:$B$58,"&gt;="&amp;H$5,'Q4 Assumptions'!$B$42:$B$58,"&lt;="&amp;H$6)</f>
        <v/>
      </c>
      <c r="I22" s="60">
        <f>SUMIFS('Q4 Assumptions'!$C$42:$C$58,'Q4 Assumptions'!$D$42:$D$58,"Bebeks",'Q4 Assumptions'!$B$42:$B$58,"&gt;="&amp;I$5,'Q4 Assumptions'!$B$42:$B$58,"&lt;="&amp;I$6)</f>
        <v/>
      </c>
      <c r="J22" s="60">
        <f>SUMIFS('Q4 Assumptions'!$C$42:$C$58,'Q4 Assumptions'!$D$42:$D$58,"Bebeks",'Q4 Assumptions'!$B$42:$B$58,"&gt;="&amp;J$5,'Q4 Assumptions'!$B$42:$B$58,"&lt;="&amp;J$6)</f>
        <v/>
      </c>
      <c r="K22" s="60">
        <f>SUMIFS('Q4 Assumptions'!$C$42:$C$58,'Q4 Assumptions'!$D$42:$D$58,"Bebeks",'Q4 Assumptions'!$B$42:$B$58,"&gt;="&amp;K$5,'Q4 Assumptions'!$B$42:$B$58,"&lt;="&amp;K$6)</f>
        <v/>
      </c>
      <c r="L22" s="60">
        <f>SUMIFS('Q4 Assumptions'!$C$42:$C$58,'Q4 Assumptions'!$D$42:$D$58,"Bebeks",'Q4 Assumptions'!$B$42:$B$58,"&gt;="&amp;L$5,'Q4 Assumptions'!$B$42:$B$58,"&lt;="&amp;L$6)</f>
        <v/>
      </c>
      <c r="M22" s="60">
        <f>SUMIFS('Q4 Assumptions'!$C$42:$C$58,'Q4 Assumptions'!$D$42:$D$58,"Bebeks",'Q4 Assumptions'!$B$42:$B$58,"&gt;="&amp;M$5,'Q4 Assumptions'!$B$42:$B$58,"&lt;="&amp;M$6)</f>
        <v/>
      </c>
      <c r="N22" s="60">
        <f>SUMIFS('Q4 Assumptions'!$C$42:$C$58,'Q4 Assumptions'!$D$42:$D$58,"Bebeks",'Q4 Assumptions'!$B$42:$B$58,"&gt;="&amp;N$5,'Q4 Assumptions'!$B$42:$B$58,"&lt;="&amp;N$6)</f>
        <v/>
      </c>
      <c r="O22" s="60">
        <f>SUMIFS('Q4 Assumptions'!$C$42:$C$58,'Q4 Assumptions'!$D$42:$D$58,"Bebeks",'Q4 Assumptions'!$B$42:$B$58,"&gt;="&amp;O$5,'Q4 Assumptions'!$B$42:$B$58,"&lt;="&amp;O$6)</f>
        <v/>
      </c>
      <c r="P22" s="60">
        <f>SUMIFS('Q4 Assumptions'!$C$42:$C$58,'Q4 Assumptions'!$D$42:$D$58,"Bebeks",'Q4 Assumptions'!$B$42:$B$58,"&gt;="&amp;P$5,'Q4 Assumptions'!$B$42:$B$58,"&lt;="&amp;P$6)</f>
        <v/>
      </c>
      <c r="Q22" s="86">
        <f>SUM(C22:P22)</f>
        <v/>
      </c>
    </row>
    <row r="23">
      <c r="A23" s="51" t="n"/>
      <c r="B23" s="57" t="inlineStr">
        <is>
          <t xml:space="preserve">   Investment — Kopitiam</t>
        </is>
      </c>
      <c r="C23" s="60">
        <f>SUMIFS('Q4 Assumptions'!$C$42:$C$58,'Q4 Assumptions'!$D$42:$D$58,"Kopitiam",'Q4 Assumptions'!$B$42:$B$58,"&gt;="&amp;C$5,'Q4 Assumptions'!$B$42:$B$58,"&lt;="&amp;C$6)</f>
        <v/>
      </c>
      <c r="D23" s="60">
        <f>SUMIFS('Q4 Assumptions'!$C$42:$C$58,'Q4 Assumptions'!$D$42:$D$58,"Kopitiam",'Q4 Assumptions'!$B$42:$B$58,"&gt;="&amp;D$5,'Q4 Assumptions'!$B$42:$B$58,"&lt;="&amp;D$6)</f>
        <v/>
      </c>
      <c r="E23" s="60">
        <f>SUMIFS('Q4 Assumptions'!$C$42:$C$58,'Q4 Assumptions'!$D$42:$D$58,"Kopitiam",'Q4 Assumptions'!$B$42:$B$58,"&gt;="&amp;E$5,'Q4 Assumptions'!$B$42:$B$58,"&lt;="&amp;E$6)</f>
        <v/>
      </c>
      <c r="F23" s="60">
        <f>SUMIFS('Q4 Assumptions'!$C$42:$C$58,'Q4 Assumptions'!$D$42:$D$58,"Kopitiam",'Q4 Assumptions'!$B$42:$B$58,"&gt;="&amp;F$5,'Q4 Assumptions'!$B$42:$B$58,"&lt;="&amp;F$6)</f>
        <v/>
      </c>
      <c r="G23" s="60">
        <f>SUMIFS('Q4 Assumptions'!$C$42:$C$58,'Q4 Assumptions'!$D$42:$D$58,"Kopitiam",'Q4 Assumptions'!$B$42:$B$58,"&gt;="&amp;G$5,'Q4 Assumptions'!$B$42:$B$58,"&lt;="&amp;G$6)</f>
        <v/>
      </c>
      <c r="H23" s="60">
        <f>SUMIFS('Q4 Assumptions'!$C$42:$C$58,'Q4 Assumptions'!$D$42:$D$58,"Kopitiam",'Q4 Assumptions'!$B$42:$B$58,"&gt;="&amp;H$5,'Q4 Assumptions'!$B$42:$B$58,"&lt;="&amp;H$6)</f>
        <v/>
      </c>
      <c r="I23" s="60">
        <f>SUMIFS('Q4 Assumptions'!$C$42:$C$58,'Q4 Assumptions'!$D$42:$D$58,"Kopitiam",'Q4 Assumptions'!$B$42:$B$58,"&gt;="&amp;I$5,'Q4 Assumptions'!$B$42:$B$58,"&lt;="&amp;I$6)</f>
        <v/>
      </c>
      <c r="J23" s="60">
        <f>SUMIFS('Q4 Assumptions'!$C$42:$C$58,'Q4 Assumptions'!$D$42:$D$58,"Kopitiam",'Q4 Assumptions'!$B$42:$B$58,"&gt;="&amp;J$5,'Q4 Assumptions'!$B$42:$B$58,"&lt;="&amp;J$6)</f>
        <v/>
      </c>
      <c r="K23" s="60">
        <f>SUMIFS('Q4 Assumptions'!$C$42:$C$58,'Q4 Assumptions'!$D$42:$D$58,"Kopitiam",'Q4 Assumptions'!$B$42:$B$58,"&gt;="&amp;K$5,'Q4 Assumptions'!$B$42:$B$58,"&lt;="&amp;K$6)</f>
        <v/>
      </c>
      <c r="L23" s="60">
        <f>SUMIFS('Q4 Assumptions'!$C$42:$C$58,'Q4 Assumptions'!$D$42:$D$58,"Kopitiam",'Q4 Assumptions'!$B$42:$B$58,"&gt;="&amp;L$5,'Q4 Assumptions'!$B$42:$B$58,"&lt;="&amp;L$6)</f>
        <v/>
      </c>
      <c r="M23" s="60">
        <f>SUMIFS('Q4 Assumptions'!$C$42:$C$58,'Q4 Assumptions'!$D$42:$D$58,"Kopitiam",'Q4 Assumptions'!$B$42:$B$58,"&gt;="&amp;M$5,'Q4 Assumptions'!$B$42:$B$58,"&lt;="&amp;M$6)</f>
        <v/>
      </c>
      <c r="N23" s="60">
        <f>SUMIFS('Q4 Assumptions'!$C$42:$C$58,'Q4 Assumptions'!$D$42:$D$58,"Kopitiam",'Q4 Assumptions'!$B$42:$B$58,"&gt;="&amp;N$5,'Q4 Assumptions'!$B$42:$B$58,"&lt;="&amp;N$6)</f>
        <v/>
      </c>
      <c r="O23" s="60">
        <f>SUMIFS('Q4 Assumptions'!$C$42:$C$58,'Q4 Assumptions'!$D$42:$D$58,"Kopitiam",'Q4 Assumptions'!$B$42:$B$58,"&gt;="&amp;O$5,'Q4 Assumptions'!$B$42:$B$58,"&lt;="&amp;O$6)</f>
        <v/>
      </c>
      <c r="P23" s="60">
        <f>SUMIFS('Q4 Assumptions'!$C$42:$C$58,'Q4 Assumptions'!$D$42:$D$58,"Kopitiam",'Q4 Assumptions'!$B$42:$B$58,"&gt;="&amp;P$5,'Q4 Assumptions'!$B$42:$B$58,"&lt;="&amp;P$6)</f>
        <v/>
      </c>
      <c r="Q23" s="86">
        <f>SUM(C23:P23)</f>
        <v/>
      </c>
    </row>
    <row r="24">
      <c r="A24" s="51" t="n"/>
      <c r="B24" s="57" t="inlineStr">
        <is>
          <t xml:space="preserve">   SST Sep–Oct</t>
        </is>
      </c>
      <c r="C24" s="60">
        <f>SUMIFS('Q4 Assumptions'!$C$42:$C$58,'Q4 Assumptions'!$D$42:$D$58,"SST",'Q4 Assumptions'!$B$42:$B$58,"&gt;="&amp;C$5,'Q4 Assumptions'!$B$42:$B$58,"&lt;="&amp;C$6)</f>
        <v/>
      </c>
      <c r="D24" s="60">
        <f>SUMIFS('Q4 Assumptions'!$C$42:$C$58,'Q4 Assumptions'!$D$42:$D$58,"SST",'Q4 Assumptions'!$B$42:$B$58,"&gt;="&amp;D$5,'Q4 Assumptions'!$B$42:$B$58,"&lt;="&amp;D$6)</f>
        <v/>
      </c>
      <c r="E24" s="60">
        <f>SUMIFS('Q4 Assumptions'!$C$42:$C$58,'Q4 Assumptions'!$D$42:$D$58,"SST",'Q4 Assumptions'!$B$42:$B$58,"&gt;="&amp;E$5,'Q4 Assumptions'!$B$42:$B$58,"&lt;="&amp;E$6)</f>
        <v/>
      </c>
      <c r="F24" s="60">
        <f>SUMIFS('Q4 Assumptions'!$C$42:$C$58,'Q4 Assumptions'!$D$42:$D$58,"SST",'Q4 Assumptions'!$B$42:$B$58,"&gt;="&amp;F$5,'Q4 Assumptions'!$B$42:$B$58,"&lt;="&amp;F$6)</f>
        <v/>
      </c>
      <c r="G24" s="60">
        <f>SUMIFS('Q4 Assumptions'!$C$42:$C$58,'Q4 Assumptions'!$D$42:$D$58,"SST",'Q4 Assumptions'!$B$42:$B$58,"&gt;="&amp;G$5,'Q4 Assumptions'!$B$42:$B$58,"&lt;="&amp;G$6)</f>
        <v/>
      </c>
      <c r="H24" s="60">
        <f>SUMIFS('Q4 Assumptions'!$C$42:$C$58,'Q4 Assumptions'!$D$42:$D$58,"SST",'Q4 Assumptions'!$B$42:$B$58,"&gt;="&amp;H$5,'Q4 Assumptions'!$B$42:$B$58,"&lt;="&amp;H$6)</f>
        <v/>
      </c>
      <c r="I24" s="60">
        <f>SUMIFS('Q4 Assumptions'!$C$42:$C$58,'Q4 Assumptions'!$D$42:$D$58,"SST",'Q4 Assumptions'!$B$42:$B$58,"&gt;="&amp;I$5,'Q4 Assumptions'!$B$42:$B$58,"&lt;="&amp;I$6)</f>
        <v/>
      </c>
      <c r="J24" s="60">
        <f>SUMIFS('Q4 Assumptions'!$C$42:$C$58,'Q4 Assumptions'!$D$42:$D$58,"SST",'Q4 Assumptions'!$B$42:$B$58,"&gt;="&amp;J$5,'Q4 Assumptions'!$B$42:$B$58,"&lt;="&amp;J$6)</f>
        <v/>
      </c>
      <c r="K24" s="60">
        <f>SUMIFS('Q4 Assumptions'!$C$42:$C$58,'Q4 Assumptions'!$D$42:$D$58,"SST",'Q4 Assumptions'!$B$42:$B$58,"&gt;="&amp;K$5,'Q4 Assumptions'!$B$42:$B$58,"&lt;="&amp;K$6)</f>
        <v/>
      </c>
      <c r="L24" s="60">
        <f>SUMIFS('Q4 Assumptions'!$C$42:$C$58,'Q4 Assumptions'!$D$42:$D$58,"SST",'Q4 Assumptions'!$B$42:$B$58,"&gt;="&amp;L$5,'Q4 Assumptions'!$B$42:$B$58,"&lt;="&amp;L$6)</f>
        <v/>
      </c>
      <c r="M24" s="60">
        <f>SUMIFS('Q4 Assumptions'!$C$42:$C$58,'Q4 Assumptions'!$D$42:$D$58,"SST",'Q4 Assumptions'!$B$42:$B$58,"&gt;="&amp;M$5,'Q4 Assumptions'!$B$42:$B$58,"&lt;="&amp;M$6)</f>
        <v/>
      </c>
      <c r="N24" s="60">
        <f>SUMIFS('Q4 Assumptions'!$C$42:$C$58,'Q4 Assumptions'!$D$42:$D$58,"SST",'Q4 Assumptions'!$B$42:$B$58,"&gt;="&amp;N$5,'Q4 Assumptions'!$B$42:$B$58,"&lt;="&amp;N$6)</f>
        <v/>
      </c>
      <c r="O24" s="60">
        <f>SUMIFS('Q4 Assumptions'!$C$42:$C$58,'Q4 Assumptions'!$D$42:$D$58,"SST",'Q4 Assumptions'!$B$42:$B$58,"&gt;="&amp;O$5,'Q4 Assumptions'!$B$42:$B$58,"&lt;="&amp;O$6)</f>
        <v/>
      </c>
      <c r="P24" s="60">
        <f>SUMIFS('Q4 Assumptions'!$C$42:$C$58,'Q4 Assumptions'!$D$42:$D$58,"SST",'Q4 Assumptions'!$B$42:$B$58,"&gt;="&amp;P$5,'Q4 Assumptions'!$B$42:$B$58,"&lt;="&amp;P$6)</f>
        <v/>
      </c>
      <c r="Q24" s="86">
        <f>SUM(C24:P24)</f>
        <v/>
      </c>
    </row>
    <row r="25">
      <c r="A25" s="51" t="n"/>
      <c r="B25" s="57" t="inlineStr">
        <is>
          <t xml:space="preserve">   Transfer to RHB (payroll funding)</t>
        </is>
      </c>
      <c r="C25" s="60">
        <f>C39</f>
        <v/>
      </c>
      <c r="D25" s="60">
        <f>D39</f>
        <v/>
      </c>
      <c r="E25" s="60">
        <f>E39</f>
        <v/>
      </c>
      <c r="F25" s="60">
        <f>F39</f>
        <v/>
      </c>
      <c r="G25" s="60">
        <f>G39</f>
        <v/>
      </c>
      <c r="H25" s="60">
        <f>H39</f>
        <v/>
      </c>
      <c r="I25" s="60">
        <f>I39</f>
        <v/>
      </c>
      <c r="J25" s="60">
        <f>J39</f>
        <v/>
      </c>
      <c r="K25" s="60">
        <f>K39</f>
        <v/>
      </c>
      <c r="L25" s="60">
        <f>L39</f>
        <v/>
      </c>
      <c r="M25" s="60">
        <f>M39</f>
        <v/>
      </c>
      <c r="N25" s="60">
        <f>N39</f>
        <v/>
      </c>
      <c r="O25" s="60">
        <f>O39</f>
        <v/>
      </c>
      <c r="P25" s="60">
        <f>P39</f>
        <v/>
      </c>
      <c r="Q25" s="86">
        <f>SUM(C25:P25)</f>
        <v/>
      </c>
    </row>
    <row r="26">
      <c r="A26" s="51" t="n"/>
      <c r="B26" s="54" t="inlineStr">
        <is>
          <t>Total cash out</t>
        </is>
      </c>
      <c r="C26" s="61">
        <f>SUM(C17:C25)</f>
        <v/>
      </c>
      <c r="D26" s="61">
        <f>SUM(D17:D25)</f>
        <v/>
      </c>
      <c r="E26" s="61">
        <f>SUM(E17:E25)</f>
        <v/>
      </c>
      <c r="F26" s="61">
        <f>SUM(F17:F25)</f>
        <v/>
      </c>
      <c r="G26" s="61">
        <f>SUM(G17:G25)</f>
        <v/>
      </c>
      <c r="H26" s="61">
        <f>SUM(H17:H25)</f>
        <v/>
      </c>
      <c r="I26" s="61">
        <f>SUM(I17:I25)</f>
        <v/>
      </c>
      <c r="J26" s="61">
        <f>SUM(J17:J25)</f>
        <v/>
      </c>
      <c r="K26" s="61">
        <f>SUM(K17:K25)</f>
        <v/>
      </c>
      <c r="L26" s="61">
        <f>SUM(L17:L25)</f>
        <v/>
      </c>
      <c r="M26" s="61">
        <f>SUM(M17:M25)</f>
        <v/>
      </c>
      <c r="N26" s="61">
        <f>SUM(N17:N25)</f>
        <v/>
      </c>
      <c r="O26" s="61">
        <f>SUM(O17:O25)</f>
        <v/>
      </c>
      <c r="P26" s="61">
        <f>SUM(P17:P25)</f>
        <v/>
      </c>
      <c r="Q26" s="95">
        <f>SUM(C26:P26)</f>
        <v/>
      </c>
    </row>
    <row r="27">
      <c r="A27" s="51" t="n"/>
      <c r="B27" s="54" t="inlineStr">
        <is>
          <t>Net cash flow</t>
        </is>
      </c>
      <c r="C27" s="56">
        <f>C15-C26</f>
        <v/>
      </c>
      <c r="D27" s="56">
        <f>D15-D26</f>
        <v/>
      </c>
      <c r="E27" s="56">
        <f>E15-E26</f>
        <v/>
      </c>
      <c r="F27" s="56">
        <f>F15-F26</f>
        <v/>
      </c>
      <c r="G27" s="56">
        <f>G15-G26</f>
        <v/>
      </c>
      <c r="H27" s="56">
        <f>H15-H26</f>
        <v/>
      </c>
      <c r="I27" s="56">
        <f>I15-I26</f>
        <v/>
      </c>
      <c r="J27" s="56">
        <f>J15-J26</f>
        <v/>
      </c>
      <c r="K27" s="56">
        <f>K15-K26</f>
        <v/>
      </c>
      <c r="L27" s="56">
        <f>L15-L26</f>
        <v/>
      </c>
      <c r="M27" s="56">
        <f>M15-M26</f>
        <v/>
      </c>
      <c r="N27" s="56">
        <f>N15-N26</f>
        <v/>
      </c>
      <c r="O27" s="56">
        <f>O15-O26</f>
        <v/>
      </c>
      <c r="P27" s="56">
        <f>P15-P26</f>
        <v/>
      </c>
      <c r="Q27" s="86">
        <f>SUM(C27:P27)</f>
        <v/>
      </c>
    </row>
    <row r="28">
      <c r="A28" s="51" t="n"/>
      <c r="B28" s="96" t="inlineStr">
        <is>
          <t>Closing balance — Maybank</t>
        </is>
      </c>
      <c r="C28" s="86">
        <f>C10+C27</f>
        <v/>
      </c>
      <c r="D28" s="86">
        <f>D10+D27</f>
        <v/>
      </c>
      <c r="E28" s="86">
        <f>E10+E27</f>
        <v/>
      </c>
      <c r="F28" s="86">
        <f>F10+F27</f>
        <v/>
      </c>
      <c r="G28" s="86">
        <f>G10+G27</f>
        <v/>
      </c>
      <c r="H28" s="86">
        <f>H10+H27</f>
        <v/>
      </c>
      <c r="I28" s="86">
        <f>I10+I27</f>
        <v/>
      </c>
      <c r="J28" s="86">
        <f>J10+J27</f>
        <v/>
      </c>
      <c r="K28" s="86">
        <f>K10+K27</f>
        <v/>
      </c>
      <c r="L28" s="86">
        <f>L10+L27</f>
        <v/>
      </c>
      <c r="M28" s="86">
        <f>M10+M27</f>
        <v/>
      </c>
      <c r="N28" s="86">
        <f>N10+N27</f>
        <v/>
      </c>
      <c r="O28" s="86">
        <f>O10+O27</f>
        <v/>
      </c>
      <c r="P28" s="86">
        <f>P10+P27</f>
        <v/>
      </c>
      <c r="Q28" s="86">
        <f>P28</f>
        <v/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</row>
    <row r="30">
      <c r="A30" s="65" t="inlineStr">
        <is>
          <t>RHB</t>
        </is>
      </c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</row>
    <row r="31">
      <c r="A31" s="51" t="n"/>
      <c r="B31" s="54" t="inlineStr">
        <is>
          <t>Opening balance</t>
        </is>
      </c>
      <c r="C31" s="56">
        <f>'Q4 Assumptions'!B8</f>
        <v/>
      </c>
      <c r="D31" s="56">
        <f>C44</f>
        <v/>
      </c>
      <c r="E31" s="56">
        <f>D44</f>
        <v/>
      </c>
      <c r="F31" s="56">
        <f>E44</f>
        <v/>
      </c>
      <c r="G31" s="56">
        <f>F44</f>
        <v/>
      </c>
      <c r="H31" s="56">
        <f>G44</f>
        <v/>
      </c>
      <c r="I31" s="56">
        <f>H44</f>
        <v/>
      </c>
      <c r="J31" s="56">
        <f>I44</f>
        <v/>
      </c>
      <c r="K31" s="56">
        <f>J44</f>
        <v/>
      </c>
      <c r="L31" s="56">
        <f>K44</f>
        <v/>
      </c>
      <c r="M31" s="56">
        <f>L44</f>
        <v/>
      </c>
      <c r="N31" s="56">
        <f>M44</f>
        <v/>
      </c>
      <c r="O31" s="56">
        <f>N44</f>
        <v/>
      </c>
      <c r="P31" s="56">
        <f>O44</f>
        <v/>
      </c>
      <c r="Q31" s="86">
        <f>C31</f>
        <v/>
      </c>
    </row>
    <row r="32">
      <c r="A32" s="51" t="n"/>
      <c r="B32" s="54" t="inlineStr">
        <is>
          <t>Cash in</t>
        </is>
      </c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</row>
    <row r="33">
      <c r="A33" s="51" t="n"/>
      <c r="B33" s="57" t="inlineStr">
        <is>
          <t xml:space="preserve">   Cash deposits (Sep daily average)</t>
        </is>
      </c>
      <c r="C33" s="60">
        <f>'Q4 Assumptions'!$B$36*C$7</f>
        <v/>
      </c>
      <c r="D33" s="60">
        <f>'Q4 Assumptions'!$B$36*D$7</f>
        <v/>
      </c>
      <c r="E33" s="60">
        <f>'Q4 Assumptions'!$B$36*E$7</f>
        <v/>
      </c>
      <c r="F33" s="60">
        <f>'Q4 Assumptions'!$B$36*F$7</f>
        <v/>
      </c>
      <c r="G33" s="60">
        <f>'Q4 Assumptions'!$B$36*G$7</f>
        <v/>
      </c>
      <c r="H33" s="60">
        <f>'Q4 Assumptions'!$B$36*H$7</f>
        <v/>
      </c>
      <c r="I33" s="60">
        <f>'Q4 Assumptions'!$B$36*I$7</f>
        <v/>
      </c>
      <c r="J33" s="60">
        <f>'Q4 Assumptions'!$B$36*J$7</f>
        <v/>
      </c>
      <c r="K33" s="60">
        <f>'Q4 Assumptions'!$B$36*K$7</f>
        <v/>
      </c>
      <c r="L33" s="60">
        <f>'Q4 Assumptions'!$B$36*L$7</f>
        <v/>
      </c>
      <c r="M33" s="60">
        <f>'Q4 Assumptions'!$B$36*M$7</f>
        <v/>
      </c>
      <c r="N33" s="60">
        <f>'Q4 Assumptions'!$B$36*N$7</f>
        <v/>
      </c>
      <c r="O33" s="60">
        <f>'Q4 Assumptions'!$B$36*O$7</f>
        <v/>
      </c>
      <c r="P33" s="60">
        <f>'Q4 Assumptions'!$B$36*P$7</f>
        <v/>
      </c>
      <c r="Q33" s="86">
        <f>SUM(C33:P33)</f>
        <v/>
      </c>
    </row>
    <row r="34">
      <c r="A34" s="51" t="n"/>
      <c r="B34" s="57" t="inlineStr">
        <is>
          <t xml:space="preserve">   Licensing package — Petaling Jaya balance</t>
        </is>
      </c>
      <c r="C34" s="60">
        <f>SUMIFS('Q4 Assumptions'!$C$42:$C$58,'Q4 Assumptions'!$D$42:$D$58,"Licensing",'Q4 Assumptions'!$B$42:$B$58,"&gt;="&amp;C$5,'Q4 Assumptions'!$B$42:$B$58,"&lt;="&amp;C$6)</f>
        <v/>
      </c>
      <c r="D34" s="60">
        <f>SUMIFS('Q4 Assumptions'!$C$42:$C$58,'Q4 Assumptions'!$D$42:$D$58,"Licensing",'Q4 Assumptions'!$B$42:$B$58,"&gt;="&amp;D$5,'Q4 Assumptions'!$B$42:$B$58,"&lt;="&amp;D$6)</f>
        <v/>
      </c>
      <c r="E34" s="60">
        <f>SUMIFS('Q4 Assumptions'!$C$42:$C$58,'Q4 Assumptions'!$D$42:$D$58,"Licensing",'Q4 Assumptions'!$B$42:$B$58,"&gt;="&amp;E$5,'Q4 Assumptions'!$B$42:$B$58,"&lt;="&amp;E$6)</f>
        <v/>
      </c>
      <c r="F34" s="60">
        <f>SUMIFS('Q4 Assumptions'!$C$42:$C$58,'Q4 Assumptions'!$D$42:$D$58,"Licensing",'Q4 Assumptions'!$B$42:$B$58,"&gt;="&amp;F$5,'Q4 Assumptions'!$B$42:$B$58,"&lt;="&amp;F$6)</f>
        <v/>
      </c>
      <c r="G34" s="60">
        <f>SUMIFS('Q4 Assumptions'!$C$42:$C$58,'Q4 Assumptions'!$D$42:$D$58,"Licensing",'Q4 Assumptions'!$B$42:$B$58,"&gt;="&amp;G$5,'Q4 Assumptions'!$B$42:$B$58,"&lt;="&amp;G$6)</f>
        <v/>
      </c>
      <c r="H34" s="60">
        <f>SUMIFS('Q4 Assumptions'!$C$42:$C$58,'Q4 Assumptions'!$D$42:$D$58,"Licensing",'Q4 Assumptions'!$B$42:$B$58,"&gt;="&amp;H$5,'Q4 Assumptions'!$B$42:$B$58,"&lt;="&amp;H$6)</f>
        <v/>
      </c>
      <c r="I34" s="60">
        <f>SUMIFS('Q4 Assumptions'!$C$42:$C$58,'Q4 Assumptions'!$D$42:$D$58,"Licensing",'Q4 Assumptions'!$B$42:$B$58,"&gt;="&amp;I$5,'Q4 Assumptions'!$B$42:$B$58,"&lt;="&amp;I$6)</f>
        <v/>
      </c>
      <c r="J34" s="60">
        <f>SUMIFS('Q4 Assumptions'!$C$42:$C$58,'Q4 Assumptions'!$D$42:$D$58,"Licensing",'Q4 Assumptions'!$B$42:$B$58,"&gt;="&amp;J$5,'Q4 Assumptions'!$B$42:$B$58,"&lt;="&amp;J$6)</f>
        <v/>
      </c>
      <c r="K34" s="60">
        <f>SUMIFS('Q4 Assumptions'!$C$42:$C$58,'Q4 Assumptions'!$D$42:$D$58,"Licensing",'Q4 Assumptions'!$B$42:$B$58,"&gt;="&amp;K$5,'Q4 Assumptions'!$B$42:$B$58,"&lt;="&amp;K$6)</f>
        <v/>
      </c>
      <c r="L34" s="60">
        <f>SUMIFS('Q4 Assumptions'!$C$42:$C$58,'Q4 Assumptions'!$D$42:$D$58,"Licensing",'Q4 Assumptions'!$B$42:$B$58,"&gt;="&amp;L$5,'Q4 Assumptions'!$B$42:$B$58,"&lt;="&amp;L$6)</f>
        <v/>
      </c>
      <c r="M34" s="60">
        <f>SUMIFS('Q4 Assumptions'!$C$42:$C$58,'Q4 Assumptions'!$D$42:$D$58,"Licensing",'Q4 Assumptions'!$B$42:$B$58,"&gt;="&amp;M$5,'Q4 Assumptions'!$B$42:$B$58,"&lt;="&amp;M$6)</f>
        <v/>
      </c>
      <c r="N34" s="60">
        <f>SUMIFS('Q4 Assumptions'!$C$42:$C$58,'Q4 Assumptions'!$D$42:$D$58,"Licensing",'Q4 Assumptions'!$B$42:$B$58,"&gt;="&amp;N$5,'Q4 Assumptions'!$B$42:$B$58,"&lt;="&amp;N$6)</f>
        <v/>
      </c>
      <c r="O34" s="60">
        <f>SUMIFS('Q4 Assumptions'!$C$42:$C$58,'Q4 Assumptions'!$D$42:$D$58,"Licensing",'Q4 Assumptions'!$B$42:$B$58,"&gt;="&amp;O$5,'Q4 Assumptions'!$B$42:$B$58,"&lt;="&amp;O$6)</f>
        <v/>
      </c>
      <c r="P34" s="60">
        <f>SUMIFS('Q4 Assumptions'!$C$42:$C$58,'Q4 Assumptions'!$D$42:$D$58,"Licensing",'Q4 Assumptions'!$B$42:$B$58,"&gt;="&amp;P$5,'Q4 Assumptions'!$B$42:$B$58,"&lt;="&amp;P$6)</f>
        <v/>
      </c>
      <c r="Q34" s="86">
        <f>SUM(C34:P34)</f>
        <v/>
      </c>
    </row>
    <row r="35">
      <c r="A35" s="51" t="n"/>
      <c r="B35" s="54" t="inlineStr">
        <is>
          <t>Cash out</t>
        </is>
      </c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</row>
    <row r="36">
      <c r="A36" s="51" t="n"/>
      <c r="B36" s="57" t="inlineStr">
        <is>
          <t xml:space="preserve">   Payroll (25th)</t>
        </is>
      </c>
      <c r="C36" s="60">
        <f>SUMIFS('Q4 Assumptions'!$C$42:$C$58,'Q4 Assumptions'!$D$42:$D$58,"Payroll",'Q4 Assumptions'!$B$42:$B$58,"&gt;="&amp;C$5,'Q4 Assumptions'!$B$42:$B$58,"&lt;="&amp;C$6)</f>
        <v/>
      </c>
      <c r="D36" s="60">
        <f>SUMIFS('Q4 Assumptions'!$C$42:$C$58,'Q4 Assumptions'!$D$42:$D$58,"Payroll",'Q4 Assumptions'!$B$42:$B$58,"&gt;="&amp;D$5,'Q4 Assumptions'!$B$42:$B$58,"&lt;="&amp;D$6)</f>
        <v/>
      </c>
      <c r="E36" s="60">
        <f>SUMIFS('Q4 Assumptions'!$C$42:$C$58,'Q4 Assumptions'!$D$42:$D$58,"Payroll",'Q4 Assumptions'!$B$42:$B$58,"&gt;="&amp;E$5,'Q4 Assumptions'!$B$42:$B$58,"&lt;="&amp;E$6)</f>
        <v/>
      </c>
      <c r="F36" s="60">
        <f>SUMIFS('Q4 Assumptions'!$C$42:$C$58,'Q4 Assumptions'!$D$42:$D$58,"Payroll",'Q4 Assumptions'!$B$42:$B$58,"&gt;="&amp;F$5,'Q4 Assumptions'!$B$42:$B$58,"&lt;="&amp;F$6)</f>
        <v/>
      </c>
      <c r="G36" s="60">
        <f>SUMIFS('Q4 Assumptions'!$C$42:$C$58,'Q4 Assumptions'!$D$42:$D$58,"Payroll",'Q4 Assumptions'!$B$42:$B$58,"&gt;="&amp;G$5,'Q4 Assumptions'!$B$42:$B$58,"&lt;="&amp;G$6)</f>
        <v/>
      </c>
      <c r="H36" s="60">
        <f>SUMIFS('Q4 Assumptions'!$C$42:$C$58,'Q4 Assumptions'!$D$42:$D$58,"Payroll",'Q4 Assumptions'!$B$42:$B$58,"&gt;="&amp;H$5,'Q4 Assumptions'!$B$42:$B$58,"&lt;="&amp;H$6)</f>
        <v/>
      </c>
      <c r="I36" s="60">
        <f>SUMIFS('Q4 Assumptions'!$C$42:$C$58,'Q4 Assumptions'!$D$42:$D$58,"Payroll",'Q4 Assumptions'!$B$42:$B$58,"&gt;="&amp;I$5,'Q4 Assumptions'!$B$42:$B$58,"&lt;="&amp;I$6)</f>
        <v/>
      </c>
      <c r="J36" s="60">
        <f>SUMIFS('Q4 Assumptions'!$C$42:$C$58,'Q4 Assumptions'!$D$42:$D$58,"Payroll",'Q4 Assumptions'!$B$42:$B$58,"&gt;="&amp;J$5,'Q4 Assumptions'!$B$42:$B$58,"&lt;="&amp;J$6)</f>
        <v/>
      </c>
      <c r="K36" s="60">
        <f>SUMIFS('Q4 Assumptions'!$C$42:$C$58,'Q4 Assumptions'!$D$42:$D$58,"Payroll",'Q4 Assumptions'!$B$42:$B$58,"&gt;="&amp;K$5,'Q4 Assumptions'!$B$42:$B$58,"&lt;="&amp;K$6)</f>
        <v/>
      </c>
      <c r="L36" s="60">
        <f>SUMIFS('Q4 Assumptions'!$C$42:$C$58,'Q4 Assumptions'!$D$42:$D$58,"Payroll",'Q4 Assumptions'!$B$42:$B$58,"&gt;="&amp;L$5,'Q4 Assumptions'!$B$42:$B$58,"&lt;="&amp;L$6)</f>
        <v/>
      </c>
      <c r="M36" s="60">
        <f>SUMIFS('Q4 Assumptions'!$C$42:$C$58,'Q4 Assumptions'!$D$42:$D$58,"Payroll",'Q4 Assumptions'!$B$42:$B$58,"&gt;="&amp;M$5,'Q4 Assumptions'!$B$42:$B$58,"&lt;="&amp;M$6)</f>
        <v/>
      </c>
      <c r="N36" s="60">
        <f>SUMIFS('Q4 Assumptions'!$C$42:$C$58,'Q4 Assumptions'!$D$42:$D$58,"Payroll",'Q4 Assumptions'!$B$42:$B$58,"&gt;="&amp;N$5,'Q4 Assumptions'!$B$42:$B$58,"&lt;="&amp;N$6)</f>
        <v/>
      </c>
      <c r="O36" s="60">
        <f>SUMIFS('Q4 Assumptions'!$C$42:$C$58,'Q4 Assumptions'!$D$42:$D$58,"Payroll",'Q4 Assumptions'!$B$42:$B$58,"&gt;="&amp;O$5,'Q4 Assumptions'!$B$42:$B$58,"&lt;="&amp;O$6)</f>
        <v/>
      </c>
      <c r="P36" s="60">
        <f>SUMIFS('Q4 Assumptions'!$C$42:$C$58,'Q4 Assumptions'!$D$42:$D$58,"Payroll",'Q4 Assumptions'!$B$42:$B$58,"&gt;="&amp;P$5,'Q4 Assumptions'!$B$42:$B$58,"&lt;="&amp;P$6)</f>
        <v/>
      </c>
      <c r="Q36" s="86">
        <f>SUM(C36:P36)</f>
        <v/>
      </c>
    </row>
    <row r="37">
      <c r="A37" s="51" t="n"/>
      <c r="B37" s="57" t="inlineStr">
        <is>
          <t xml:space="preserve">   Staff bonus</t>
        </is>
      </c>
      <c r="C37" s="60">
        <f>SUMIFS('Q4 Assumptions'!$C$42:$C$58,'Q4 Assumptions'!$D$42:$D$58,"Bonus",'Q4 Assumptions'!$B$42:$B$58,"&gt;="&amp;C$5,'Q4 Assumptions'!$B$42:$B$58,"&lt;="&amp;C$6)</f>
        <v/>
      </c>
      <c r="D37" s="60">
        <f>SUMIFS('Q4 Assumptions'!$C$42:$C$58,'Q4 Assumptions'!$D$42:$D$58,"Bonus",'Q4 Assumptions'!$B$42:$B$58,"&gt;="&amp;D$5,'Q4 Assumptions'!$B$42:$B$58,"&lt;="&amp;D$6)</f>
        <v/>
      </c>
      <c r="E37" s="60">
        <f>SUMIFS('Q4 Assumptions'!$C$42:$C$58,'Q4 Assumptions'!$D$42:$D$58,"Bonus",'Q4 Assumptions'!$B$42:$B$58,"&gt;="&amp;E$5,'Q4 Assumptions'!$B$42:$B$58,"&lt;="&amp;E$6)</f>
        <v/>
      </c>
      <c r="F37" s="60">
        <f>SUMIFS('Q4 Assumptions'!$C$42:$C$58,'Q4 Assumptions'!$D$42:$D$58,"Bonus",'Q4 Assumptions'!$B$42:$B$58,"&gt;="&amp;F$5,'Q4 Assumptions'!$B$42:$B$58,"&lt;="&amp;F$6)</f>
        <v/>
      </c>
      <c r="G37" s="60">
        <f>SUMIFS('Q4 Assumptions'!$C$42:$C$58,'Q4 Assumptions'!$D$42:$D$58,"Bonus",'Q4 Assumptions'!$B$42:$B$58,"&gt;="&amp;G$5,'Q4 Assumptions'!$B$42:$B$58,"&lt;="&amp;G$6)</f>
        <v/>
      </c>
      <c r="H37" s="60">
        <f>SUMIFS('Q4 Assumptions'!$C$42:$C$58,'Q4 Assumptions'!$D$42:$D$58,"Bonus",'Q4 Assumptions'!$B$42:$B$58,"&gt;="&amp;H$5,'Q4 Assumptions'!$B$42:$B$58,"&lt;="&amp;H$6)</f>
        <v/>
      </c>
      <c r="I37" s="60">
        <f>SUMIFS('Q4 Assumptions'!$C$42:$C$58,'Q4 Assumptions'!$D$42:$D$58,"Bonus",'Q4 Assumptions'!$B$42:$B$58,"&gt;="&amp;I$5,'Q4 Assumptions'!$B$42:$B$58,"&lt;="&amp;I$6)</f>
        <v/>
      </c>
      <c r="J37" s="60">
        <f>SUMIFS('Q4 Assumptions'!$C$42:$C$58,'Q4 Assumptions'!$D$42:$D$58,"Bonus",'Q4 Assumptions'!$B$42:$B$58,"&gt;="&amp;J$5,'Q4 Assumptions'!$B$42:$B$58,"&lt;="&amp;J$6)</f>
        <v/>
      </c>
      <c r="K37" s="60">
        <f>SUMIFS('Q4 Assumptions'!$C$42:$C$58,'Q4 Assumptions'!$D$42:$D$58,"Bonus",'Q4 Assumptions'!$B$42:$B$58,"&gt;="&amp;K$5,'Q4 Assumptions'!$B$42:$B$58,"&lt;="&amp;K$6)</f>
        <v/>
      </c>
      <c r="L37" s="60">
        <f>SUMIFS('Q4 Assumptions'!$C$42:$C$58,'Q4 Assumptions'!$D$42:$D$58,"Bonus",'Q4 Assumptions'!$B$42:$B$58,"&gt;="&amp;L$5,'Q4 Assumptions'!$B$42:$B$58,"&lt;="&amp;L$6)</f>
        <v/>
      </c>
      <c r="M37" s="60">
        <f>SUMIFS('Q4 Assumptions'!$C$42:$C$58,'Q4 Assumptions'!$D$42:$D$58,"Bonus",'Q4 Assumptions'!$B$42:$B$58,"&gt;="&amp;M$5,'Q4 Assumptions'!$B$42:$B$58,"&lt;="&amp;M$6)</f>
        <v/>
      </c>
      <c r="N37" s="60">
        <f>SUMIFS('Q4 Assumptions'!$C$42:$C$58,'Q4 Assumptions'!$D$42:$D$58,"Bonus",'Q4 Assumptions'!$B$42:$B$58,"&gt;="&amp;N$5,'Q4 Assumptions'!$B$42:$B$58,"&lt;="&amp;N$6)</f>
        <v/>
      </c>
      <c r="O37" s="60">
        <f>SUMIFS('Q4 Assumptions'!$C$42:$C$58,'Q4 Assumptions'!$D$42:$D$58,"Bonus",'Q4 Assumptions'!$B$42:$B$58,"&gt;="&amp;O$5,'Q4 Assumptions'!$B$42:$B$58,"&lt;="&amp;O$6)</f>
        <v/>
      </c>
      <c r="P37" s="60">
        <f>SUMIFS('Q4 Assumptions'!$C$42:$C$58,'Q4 Assumptions'!$D$42:$D$58,"Bonus",'Q4 Assumptions'!$B$42:$B$58,"&gt;="&amp;P$5,'Q4 Assumptions'!$B$42:$B$58,"&lt;="&amp;P$6)</f>
        <v/>
      </c>
      <c r="Q37" s="86">
        <f>SUM(C37:P37)</f>
        <v/>
      </c>
    </row>
    <row r="38">
      <c r="A38" s="51" t="n"/>
      <c r="B38" s="52" t="inlineStr">
        <is>
          <t xml:space="preserve">   Balance before top-up</t>
        </is>
      </c>
      <c r="C38" s="64">
        <f>C31+C33+C34-C36-C37</f>
        <v/>
      </c>
      <c r="D38" s="64">
        <f>D31+D33+D34-D36-D37</f>
        <v/>
      </c>
      <c r="E38" s="64">
        <f>E31+E33+E34-E36-E37</f>
        <v/>
      </c>
      <c r="F38" s="64">
        <f>F31+F33+F34-F36-F37</f>
        <v/>
      </c>
      <c r="G38" s="64">
        <f>G31+G33+G34-G36-G37</f>
        <v/>
      </c>
      <c r="H38" s="64">
        <f>H31+H33+H34-H36-H37</f>
        <v/>
      </c>
      <c r="I38" s="64">
        <f>I31+I33+I34-I36-I37</f>
        <v/>
      </c>
      <c r="J38" s="64">
        <f>J31+J33+J34-J36-J37</f>
        <v/>
      </c>
      <c r="K38" s="64">
        <f>K31+K33+K34-K36-K37</f>
        <v/>
      </c>
      <c r="L38" s="64">
        <f>L31+L33+L34-L36-L37</f>
        <v/>
      </c>
      <c r="M38" s="64">
        <f>M31+M33+M34-M36-M37</f>
        <v/>
      </c>
      <c r="N38" s="64">
        <f>N31+N33+N34-N36-N37</f>
        <v/>
      </c>
      <c r="O38" s="64">
        <f>O31+O33+O34-O36-O37</f>
        <v/>
      </c>
      <c r="P38" s="64">
        <f>P31+P33+P34-P36-P37</f>
        <v/>
      </c>
      <c r="Q38" s="51" t="n"/>
    </row>
    <row r="39">
      <c r="A39" s="51" t="n"/>
      <c r="B39" s="57" t="inlineStr">
        <is>
          <t xml:space="preserve">   Transfer in from Maybank (top-up to minimum)</t>
        </is>
      </c>
      <c r="C39" s="60">
        <f>MAX(0,'Q4 Assumptions'!$B$38-C38)</f>
        <v/>
      </c>
      <c r="D39" s="60">
        <f>MAX(0,'Q4 Assumptions'!$B$38-D38)</f>
        <v/>
      </c>
      <c r="E39" s="60">
        <f>MAX(0,'Q4 Assumptions'!$B$38-E38)</f>
        <v/>
      </c>
      <c r="F39" s="60">
        <f>MAX(0,'Q4 Assumptions'!$B$38-F38)</f>
        <v/>
      </c>
      <c r="G39" s="60">
        <f>MAX(0,'Q4 Assumptions'!$B$38-G38)</f>
        <v/>
      </c>
      <c r="H39" s="60">
        <f>MAX(0,'Q4 Assumptions'!$B$38-H38)</f>
        <v/>
      </c>
      <c r="I39" s="60">
        <f>MAX(0,'Q4 Assumptions'!$B$38-I38)</f>
        <v/>
      </c>
      <c r="J39" s="60">
        <f>MAX(0,'Q4 Assumptions'!$B$38-J38)</f>
        <v/>
      </c>
      <c r="K39" s="60">
        <f>MAX(0,'Q4 Assumptions'!$B$38-K38)</f>
        <v/>
      </c>
      <c r="L39" s="60">
        <f>MAX(0,'Q4 Assumptions'!$B$38-L38)</f>
        <v/>
      </c>
      <c r="M39" s="60">
        <f>MAX(0,'Q4 Assumptions'!$B$38-M38)</f>
        <v/>
      </c>
      <c r="N39" s="60">
        <f>MAX(0,'Q4 Assumptions'!$B$38-N38)</f>
        <v/>
      </c>
      <c r="O39" s="60">
        <f>MAX(0,'Q4 Assumptions'!$B$38-O38)</f>
        <v/>
      </c>
      <c r="P39" s="60">
        <f>MAX(0,'Q4 Assumptions'!$B$38-P38)</f>
        <v/>
      </c>
      <c r="Q39" s="86">
        <f>SUM(C39:P39)</f>
        <v/>
      </c>
    </row>
    <row r="40">
      <c r="A40" s="51" t="n"/>
      <c r="B40" s="54" t="inlineStr">
        <is>
          <t>Total cash in</t>
        </is>
      </c>
      <c r="C40" s="61">
        <f>C33+C34+C39</f>
        <v/>
      </c>
      <c r="D40" s="61">
        <f>D33+D34+D39</f>
        <v/>
      </c>
      <c r="E40" s="61">
        <f>E33+E34+E39</f>
        <v/>
      </c>
      <c r="F40" s="61">
        <f>F33+F34+F39</f>
        <v/>
      </c>
      <c r="G40" s="61">
        <f>G33+G34+G39</f>
        <v/>
      </c>
      <c r="H40" s="61">
        <f>H33+H34+H39</f>
        <v/>
      </c>
      <c r="I40" s="61">
        <f>I33+I34+I39</f>
        <v/>
      </c>
      <c r="J40" s="61">
        <f>J33+J34+J39</f>
        <v/>
      </c>
      <c r="K40" s="61">
        <f>K33+K34+K39</f>
        <v/>
      </c>
      <c r="L40" s="61">
        <f>L33+L34+L39</f>
        <v/>
      </c>
      <c r="M40" s="61">
        <f>M33+M34+M39</f>
        <v/>
      </c>
      <c r="N40" s="61">
        <f>N33+N34+N39</f>
        <v/>
      </c>
      <c r="O40" s="61">
        <f>O33+O34+O39</f>
        <v/>
      </c>
      <c r="P40" s="61">
        <f>P33+P34+P39</f>
        <v/>
      </c>
      <c r="Q40" s="95">
        <f>SUM(C40:P40)</f>
        <v/>
      </c>
    </row>
    <row r="41">
      <c r="A41" s="51" t="n"/>
      <c r="B41" s="54" t="inlineStr">
        <is>
          <t>Total cash out</t>
        </is>
      </c>
      <c r="C41" s="56">
        <f>C36+C37</f>
        <v/>
      </c>
      <c r="D41" s="56">
        <f>D36+D37</f>
        <v/>
      </c>
      <c r="E41" s="56">
        <f>E36+E37</f>
        <v/>
      </c>
      <c r="F41" s="56">
        <f>F36+F37</f>
        <v/>
      </c>
      <c r="G41" s="56">
        <f>G36+G37</f>
        <v/>
      </c>
      <c r="H41" s="56">
        <f>H36+H37</f>
        <v/>
      </c>
      <c r="I41" s="56">
        <f>I36+I37</f>
        <v/>
      </c>
      <c r="J41" s="56">
        <f>J36+J37</f>
        <v/>
      </c>
      <c r="K41" s="56">
        <f>K36+K37</f>
        <v/>
      </c>
      <c r="L41" s="56">
        <f>L36+L37</f>
        <v/>
      </c>
      <c r="M41" s="56">
        <f>M36+M37</f>
        <v/>
      </c>
      <c r="N41" s="56">
        <f>N36+N37</f>
        <v/>
      </c>
      <c r="O41" s="56">
        <f>O36+O37</f>
        <v/>
      </c>
      <c r="P41" s="56">
        <f>P36+P37</f>
        <v/>
      </c>
      <c r="Q41" s="86">
        <f>SUM(C41:P41)</f>
        <v/>
      </c>
    </row>
    <row r="42">
      <c r="A42" s="51" t="n"/>
      <c r="B42" s="54" t="inlineStr">
        <is>
          <t>Net cash flow</t>
        </is>
      </c>
      <c r="C42" s="56">
        <f>C40-C41</f>
        <v/>
      </c>
      <c r="D42" s="56">
        <f>D40-D41</f>
        <v/>
      </c>
      <c r="E42" s="56">
        <f>E40-E41</f>
        <v/>
      </c>
      <c r="F42" s="56">
        <f>F40-F41</f>
        <v/>
      </c>
      <c r="G42" s="56">
        <f>G40-G41</f>
        <v/>
      </c>
      <c r="H42" s="56">
        <f>H40-H41</f>
        <v/>
      </c>
      <c r="I42" s="56">
        <f>I40-I41</f>
        <v/>
      </c>
      <c r="J42" s="56">
        <f>J40-J41</f>
        <v/>
      </c>
      <c r="K42" s="56">
        <f>K40-K41</f>
        <v/>
      </c>
      <c r="L42" s="56">
        <f>L40-L41</f>
        <v/>
      </c>
      <c r="M42" s="56">
        <f>M40-M41</f>
        <v/>
      </c>
      <c r="N42" s="56">
        <f>N40-N41</f>
        <v/>
      </c>
      <c r="O42" s="56">
        <f>O40-O41</f>
        <v/>
      </c>
      <c r="P42" s="56">
        <f>P40-P41</f>
        <v/>
      </c>
      <c r="Q42" s="86">
        <f>SUM(C42:P42)</f>
        <v/>
      </c>
    </row>
    <row r="43">
      <c r="A43" s="51" t="n"/>
      <c r="B43" s="57" t="inlineStr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</row>
    <row r="44">
      <c r="A44" s="51" t="n"/>
      <c r="B44" s="96" t="inlineStr">
        <is>
          <t>Closing balance — RHB</t>
        </is>
      </c>
      <c r="C44" s="86">
        <f>C31+C42</f>
        <v/>
      </c>
      <c r="D44" s="86">
        <f>D31+D42</f>
        <v/>
      </c>
      <c r="E44" s="86">
        <f>E31+E42</f>
        <v/>
      </c>
      <c r="F44" s="86">
        <f>F31+F42</f>
        <v/>
      </c>
      <c r="G44" s="86">
        <f>G31+G42</f>
        <v/>
      </c>
      <c r="H44" s="86">
        <f>H31+H42</f>
        <v/>
      </c>
      <c r="I44" s="86">
        <f>I31+I42</f>
        <v/>
      </c>
      <c r="J44" s="86">
        <f>J31+J42</f>
        <v/>
      </c>
      <c r="K44" s="86">
        <f>K31+K42</f>
        <v/>
      </c>
      <c r="L44" s="86">
        <f>L31+L42</f>
        <v/>
      </c>
      <c r="M44" s="86">
        <f>M31+M42</f>
        <v/>
      </c>
      <c r="N44" s="86">
        <f>N31+N42</f>
        <v/>
      </c>
      <c r="O44" s="86">
        <f>O31+O42</f>
        <v/>
      </c>
      <c r="P44" s="86">
        <f>P31+P42</f>
        <v/>
      </c>
      <c r="Q44" s="86">
        <f>P44</f>
        <v/>
      </c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</row>
    <row r="46">
      <c r="A46" s="65" t="inlineStr">
        <is>
          <t>CONSOLIDATED (MAYBANK + RHB)</t>
        </is>
      </c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</row>
    <row r="47">
      <c r="A47" s="51" t="n"/>
      <c r="B47" s="54" t="inlineStr">
        <is>
          <t>Opening balance</t>
        </is>
      </c>
      <c r="C47" s="56">
        <f>C10+C31</f>
        <v/>
      </c>
      <c r="D47" s="56">
        <f>D10+D31</f>
        <v/>
      </c>
      <c r="E47" s="56">
        <f>E10+E31</f>
        <v/>
      </c>
      <c r="F47" s="56">
        <f>F10+F31</f>
        <v/>
      </c>
      <c r="G47" s="56">
        <f>G10+G31</f>
        <v/>
      </c>
      <c r="H47" s="56">
        <f>H10+H31</f>
        <v/>
      </c>
      <c r="I47" s="56">
        <f>I10+I31</f>
        <v/>
      </c>
      <c r="J47" s="56">
        <f>J10+J31</f>
        <v/>
      </c>
      <c r="K47" s="56">
        <f>K10+K31</f>
        <v/>
      </c>
      <c r="L47" s="56">
        <f>L10+L31</f>
        <v/>
      </c>
      <c r="M47" s="56">
        <f>M10+M31</f>
        <v/>
      </c>
      <c r="N47" s="56">
        <f>N10+N31</f>
        <v/>
      </c>
      <c r="O47" s="56">
        <f>O10+O31</f>
        <v/>
      </c>
      <c r="P47" s="56">
        <f>P10+P31</f>
        <v/>
      </c>
      <c r="Q47" s="86">
        <f>C47</f>
        <v/>
      </c>
    </row>
    <row r="48">
      <c r="A48" s="51" t="n"/>
      <c r="B48" s="54" t="inlineStr">
        <is>
          <t>Net cash flow (excl. inter-bank transfers)</t>
        </is>
      </c>
      <c r="C48" s="56">
        <f>C27+C42</f>
        <v/>
      </c>
      <c r="D48" s="56">
        <f>D27+D42</f>
        <v/>
      </c>
      <c r="E48" s="56">
        <f>E27+E42</f>
        <v/>
      </c>
      <c r="F48" s="56">
        <f>F27+F42</f>
        <v/>
      </c>
      <c r="G48" s="56">
        <f>G27+G42</f>
        <v/>
      </c>
      <c r="H48" s="56">
        <f>H27+H42</f>
        <v/>
      </c>
      <c r="I48" s="56">
        <f>I27+I42</f>
        <v/>
      </c>
      <c r="J48" s="56">
        <f>J27+J42</f>
        <v/>
      </c>
      <c r="K48" s="56">
        <f>K27+K42</f>
        <v/>
      </c>
      <c r="L48" s="56">
        <f>L27+L42</f>
        <v/>
      </c>
      <c r="M48" s="56">
        <f>M27+M42</f>
        <v/>
      </c>
      <c r="N48" s="56">
        <f>N27+N42</f>
        <v/>
      </c>
      <c r="O48" s="56">
        <f>O27+O42</f>
        <v/>
      </c>
      <c r="P48" s="56">
        <f>P27+P42</f>
        <v/>
      </c>
      <c r="Q48" s="86">
        <f>SUM(C48:P48)</f>
        <v/>
      </c>
    </row>
    <row r="49">
      <c r="A49" s="51" t="n"/>
      <c r="B49" s="96" t="inlineStr">
        <is>
          <t>Closing balance — combined</t>
        </is>
      </c>
      <c r="C49" s="86">
        <f>C28+C44</f>
        <v/>
      </c>
      <c r="D49" s="86">
        <f>D28+D44</f>
        <v/>
      </c>
      <c r="E49" s="86">
        <f>E28+E44</f>
        <v/>
      </c>
      <c r="F49" s="86">
        <f>F28+F44</f>
        <v/>
      </c>
      <c r="G49" s="86">
        <f>G28+G44</f>
        <v/>
      </c>
      <c r="H49" s="86">
        <f>H28+H44</f>
        <v/>
      </c>
      <c r="I49" s="86">
        <f>I28+I44</f>
        <v/>
      </c>
      <c r="J49" s="86">
        <f>J28+J44</f>
        <v/>
      </c>
      <c r="K49" s="86">
        <f>K28+K44</f>
        <v/>
      </c>
      <c r="L49" s="86">
        <f>L28+L44</f>
        <v/>
      </c>
      <c r="M49" s="86">
        <f>M28+M44</f>
        <v/>
      </c>
      <c r="N49" s="86">
        <f>N28+N44</f>
        <v/>
      </c>
      <c r="O49" s="86">
        <f>O28+O44</f>
        <v/>
      </c>
      <c r="P49" s="86">
        <f>P28+P44</f>
        <v/>
      </c>
      <c r="Q49" s="86">
        <f>P49</f>
        <v/>
      </c>
    </row>
    <row r="50">
      <c r="A50" s="51" t="n"/>
      <c r="B50" s="52" t="inlineStr">
        <is>
          <t xml:space="preserve">   Check: opening + net − closing (should be 0)</t>
        </is>
      </c>
      <c r="C50" s="64">
        <f>ROUND(C47+C48-C49,2)</f>
        <v/>
      </c>
      <c r="D50" s="64">
        <f>ROUND(D47+D48-D49,2)</f>
        <v/>
      </c>
      <c r="E50" s="64">
        <f>ROUND(E47+E48-E49,2)</f>
        <v/>
      </c>
      <c r="F50" s="64">
        <f>ROUND(F47+F48-F49,2)</f>
        <v/>
      </c>
      <c r="G50" s="64">
        <f>ROUND(G47+G48-G49,2)</f>
        <v/>
      </c>
      <c r="H50" s="64">
        <f>ROUND(H47+H48-H49,2)</f>
        <v/>
      </c>
      <c r="I50" s="64">
        <f>ROUND(I47+I48-I49,2)</f>
        <v/>
      </c>
      <c r="J50" s="64">
        <f>ROUND(J47+J48-J49,2)</f>
        <v/>
      </c>
      <c r="K50" s="64">
        <f>ROUND(K47+K48-K49,2)</f>
        <v/>
      </c>
      <c r="L50" s="64">
        <f>ROUND(L47+L48-L49,2)</f>
        <v/>
      </c>
      <c r="M50" s="64">
        <f>ROUND(M47+M48-M49,2)</f>
        <v/>
      </c>
      <c r="N50" s="64">
        <f>ROUND(N47+N48-N49,2)</f>
        <v/>
      </c>
      <c r="O50" s="64">
        <f>ROUND(O47+O48-O49,2)</f>
        <v/>
      </c>
      <c r="P50" s="64">
        <f>ROUND(P47+P48-P49,2)</f>
        <v/>
      </c>
      <c r="Q50" s="5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2026-09-29T19:04:11Z</dcterms:created>
  <dcterms:modified xsi:type="dcterms:W3CDTF">2026-09-29T19:04:11Z</dcterms:modified>
</cp:coreProperties>
</file>