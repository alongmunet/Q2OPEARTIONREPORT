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4 Summary" sheetId="1" state="visible" r:id="rId1"/>
    <sheet name="Sep30 Bridge" sheetId="2" state="visible" r:id="rId2"/>
    <sheet name="Remaining Payments" sheetId="3" state="visible" r:id="rId3"/>
    <sheet name="RHB Sep Transactions" sheetId="4" state="visible" r:id="rId4"/>
    <sheet name="Outlet Plan" sheetId="5" state="visible" r:id="rId5"/>
    <sheet name="Q4 Assumptions" sheetId="6" state="visible" r:id="rId6"/>
    <sheet name="Q4 Weekly Cash Flow" sheetId="7" state="visible" r:id="rId7"/>
    <sheet name="Q4 Outlet Schedu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-mmm-yy"/>
    <numFmt numFmtId="165" formatCode="#,##0.00;[Red](#,##0.00);-"/>
    <numFmt numFmtId="166" formatCode="yyyy-mm-dd h:mm:ss"/>
    <numFmt numFmtId="167" formatCode="#,##0.00;[Red](#,##0.00);&quot;-&quot;"/>
    <numFmt numFmtId="168" formatCode="0.0%"/>
    <numFmt numFmtId="169" formatCode="#,##0;[Red](#,##0);&quot;-&quot;"/>
  </numFmts>
  <fonts count="20">
    <font>
      <name val="Carlito"/>
      <sz val="11"/>
    </font>
    <font>
      <name val="Carlito"/>
      <b val="1"/>
      <color rgb="FFFFFFFF"/>
      <sz val="14"/>
    </font>
    <font>
      <name val="Carlito"/>
      <i val="1"/>
      <sz val="11"/>
    </font>
    <font>
      <name val="Carlito"/>
      <b val="1"/>
      <color rgb="FFFFFFFF"/>
      <sz val="11"/>
    </font>
    <font>
      <name val="Carlito"/>
      <b val="1"/>
      <sz val="11"/>
    </font>
    <font>
      <name val="Arial"/>
      <b val="1"/>
      <color rgb="00000000"/>
      <sz val="13"/>
    </font>
    <font>
      <name val="Arial"/>
      <i val="1"/>
      <color rgb="00000000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0000"/>
      <sz val="11"/>
    </font>
    <font>
      <name val="Arial"/>
      <b val="1"/>
      <color rgb="002F5597"/>
      <sz val="11"/>
    </font>
    <font>
      <name val="Arial"/>
      <b val="1"/>
      <color rgb="00FFFFFF"/>
      <sz val="10"/>
    </font>
    <font>
      <name val="Arial"/>
      <i val="1"/>
      <color rgb="00008000"/>
      <sz val="10"/>
    </font>
    <font>
      <name val="Arial"/>
      <b val="1"/>
      <color rgb="00000000"/>
    </font>
    <font>
      <name val="Arial"/>
      <b val="1"/>
    </font>
    <font>
      <name val="Arial"/>
      <b val="1"/>
      <color rgb="00008000"/>
      <sz val="10"/>
    </font>
    <font>
      <name val="Arial"/>
      <b val="1"/>
      <color rgb="00000000"/>
      <sz val="12"/>
    </font>
    <font>
      <name val="Arial"/>
      <b val="1"/>
      <color rgb="002F5597"/>
      <sz val="12"/>
    </font>
  </fonts>
  <fills count="12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2F5597"/>
      </patternFill>
    </fill>
    <fill>
      <patternFill patternType="solid">
        <fgColor rgb="00FFF2CC"/>
      </patternFill>
    </fill>
  </fills>
  <borders count="4">
    <border/>
    <border/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top style="thin">
        <color rgb="00808080"/>
      </top>
    </border>
  </borders>
  <cellStyleXfs count="1">
    <xf numFmtId="0" fontId="0" fillId="0" borderId="1"/>
  </cellStyleXfs>
  <cellXfs count="12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2" borderId="0" pivotButton="0" quotePrefix="0" xfId="0"/>
    <xf numFmtId="0" fontId="3" fillId="2" borderId="1" pivotButton="0" quotePrefix="0" xfId="0"/>
    <xf numFmtId="0" fontId="0" fillId="5" borderId="0" pivotButton="0" quotePrefix="0" xfId="0"/>
    <xf numFmtId="0" fontId="0" fillId="5" borderId="1" pivotButton="0" quotePrefix="0" xfId="0"/>
    <xf numFmtId="0" fontId="0" fillId="6" borderId="0" pivotButton="0" quotePrefix="0" xfId="0"/>
    <xf numFmtId="0" fontId="4" fillId="6" borderId="0" pivotButton="0" quotePrefix="0" xfId="0"/>
    <xf numFmtId="0" fontId="0" fillId="6" borderId="1" pivotButton="0" quotePrefix="0" xfId="0"/>
    <xf numFmtId="0" fontId="4" fillId="6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5" fontId="0" fillId="0" borderId="0" pivotButton="0" quotePrefix="0" xfId="0"/>
    <xf numFmtId="165" fontId="4" fillId="6" borderId="0" pivotButton="0" quotePrefix="0" xfId="0"/>
    <xf numFmtId="165" fontId="0" fillId="5" borderId="0" pivotButton="0" quotePrefix="0" xfId="0"/>
    <xf numFmtId="165" fontId="0" fillId="0" borderId="1" pivotButton="0" quotePrefix="0" xfId="0"/>
    <xf numFmtId="165" fontId="4" fillId="6" borderId="1" pivotButton="0" quotePrefix="0" xfId="0"/>
    <xf numFmtId="165" fontId="0" fillId="5" borderId="1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164" fontId="0" fillId="0" borderId="0" pivotButton="0" quotePrefix="0" xfId="0"/>
    <xf numFmtId="164" fontId="0" fillId="0" borderId="1" pivotButton="0" quotePrefix="0" xfId="0"/>
    <xf numFmtId="0" fontId="4" fillId="3" borderId="0" pivotButton="0" quotePrefix="0" xfId="0"/>
    <xf numFmtId="0" fontId="4" fillId="3" borderId="1" pivotButton="0" quotePrefix="0" xfId="0"/>
    <xf numFmtId="0" fontId="18" fillId="0" borderId="0" pivotButton="0" quotePrefix="0" xfId="0"/>
    <xf numFmtId="0" fontId="19" fillId="0" borderId="0" pivotButton="0" quotePrefix="0" xfId="0"/>
    <xf numFmtId="0" fontId="6" fillId="0" borderId="0" pivotButton="0" quotePrefix="0" xfId="0"/>
    <xf numFmtId="0" fontId="13" fillId="10" borderId="0" pivotButton="0" quotePrefix="0" xfId="0"/>
    <xf numFmtId="0" fontId="7" fillId="0" borderId="0" pivotButton="0" quotePrefix="0" xfId="0"/>
    <xf numFmtId="169" fontId="17" fillId="0" borderId="0" pivotButton="0" quotePrefix="0" xfId="0"/>
    <xf numFmtId="0" fontId="8" fillId="0" borderId="0" pivotButton="0" quotePrefix="0" xfId="0"/>
    <xf numFmtId="169" fontId="8" fillId="0" borderId="0" pivotButton="0" quotePrefix="0" xfId="0"/>
    <xf numFmtId="169" fontId="10" fillId="0" borderId="0" pivotButton="0" quotePrefix="0" xfId="0"/>
    <xf numFmtId="169" fontId="9" fillId="0" borderId="0" pivotButton="0" quotePrefix="0" xfId="0"/>
    <xf numFmtId="169" fontId="7" fillId="0" borderId="3" pivotButton="0" quotePrefix="0" xfId="0"/>
    <xf numFmtId="0" fontId="7" fillId="8" borderId="0" pivotButton="0" quotePrefix="0" xfId="0"/>
    <xf numFmtId="169" fontId="7" fillId="8" borderId="0" pivotButton="0" quotePrefix="0" xfId="0"/>
    <xf numFmtId="169" fontId="6" fillId="0" borderId="0" pivotButton="0" quotePrefix="0" xfId="0"/>
    <xf numFmtId="0" fontId="7" fillId="7" borderId="0" pivotButton="0" quotePrefix="0" xfId="0"/>
    <xf numFmtId="0" fontId="0" fillId="7" borderId="0" pivotButton="0" quotePrefix="0" xfId="0"/>
    <xf numFmtId="15" fontId="8" fillId="0" borderId="0" pivotButton="0" quotePrefix="0" xfId="0"/>
    <xf numFmtId="1" fontId="10" fillId="0" borderId="0" pivotButton="0" quotePrefix="0" xfId="0"/>
    <xf numFmtId="0" fontId="6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0" fillId="0" borderId="0" pivotButton="0" quotePrefix="0" xfId="0"/>
    <xf numFmtId="165" fontId="4" fillId="6" borderId="0" pivotButton="0" quotePrefix="0" xfId="0"/>
    <xf numFmtId="165" fontId="0" fillId="5" borderId="0" pivotButton="0" quotePrefix="0" xfId="0"/>
    <xf numFmtId="164" fontId="0" fillId="0" borderId="0" pivotButton="0" quotePrefix="0" xfId="0"/>
    <xf numFmtId="0" fontId="5" fillId="0" borderId="0" pivotButton="0" quotePrefix="0" xfId="0"/>
    <xf numFmtId="15" fontId="9" fillId="0" borderId="0" pivotButton="0" quotePrefix="0" xfId="0"/>
    <xf numFmtId="167" fontId="10" fillId="0" borderId="0" pivotButton="0" quotePrefix="0" xfId="0"/>
    <xf numFmtId="1" fontId="9" fillId="0" borderId="0" pivotButton="0" quotePrefix="0" xfId="0"/>
    <xf numFmtId="0" fontId="9" fillId="0" borderId="0" pivotButton="0" quotePrefix="0" xfId="0"/>
    <xf numFmtId="167" fontId="9" fillId="0" borderId="0" pivotButton="0" quotePrefix="0" xfId="0"/>
    <xf numFmtId="168" fontId="9" fillId="8" borderId="0" pivotButton="0" quotePrefix="0" xfId="0"/>
    <xf numFmtId="168" fontId="9" fillId="0" borderId="0" pivotButton="0" quotePrefix="0" xfId="0"/>
    <xf numFmtId="167" fontId="9" fillId="8" borderId="0" pivotButton="0" quotePrefix="0" xfId="0"/>
    <xf numFmtId="0" fontId="7" fillId="9" borderId="0" pivotButton="0" quotePrefix="0" xfId="0"/>
    <xf numFmtId="167" fontId="8" fillId="0" borderId="0" pivotButton="0" quotePrefix="0" xfId="0"/>
    <xf numFmtId="0" fontId="9" fillId="8" borderId="0" pivotButton="0" quotePrefix="0" xfId="0"/>
    <xf numFmtId="167" fontId="6" fillId="0" borderId="0" pivotButton="0" quotePrefix="0" xfId="0"/>
    <xf numFmtId="0" fontId="7" fillId="9" borderId="1" pivotButton="0" quotePrefix="0" xfId="0"/>
    <xf numFmtId="167" fontId="10" fillId="8" borderId="0" pivotButton="0" quotePrefix="0" xfId="0"/>
    <xf numFmtId="0" fontId="11" fillId="0" borderId="0" pivotButton="0" quotePrefix="0" xfId="0"/>
    <xf numFmtId="0" fontId="12" fillId="0" borderId="0" pivotButton="0" quotePrefix="0" xfId="0"/>
    <xf numFmtId="15" fontId="10" fillId="0" borderId="0" pivotButton="0" quotePrefix="0" xfId="0"/>
    <xf numFmtId="167" fontId="7" fillId="0" borderId="0" pivotButton="0" quotePrefix="0" xfId="0"/>
    <xf numFmtId="0" fontId="8" fillId="10" borderId="0" pivotButton="0" quotePrefix="0" xfId="0"/>
    <xf numFmtId="0" fontId="6" fillId="0" borderId="0" applyAlignment="1" pivotButton="0" quotePrefix="0" xfId="0">
      <alignment horizontal="right"/>
    </xf>
    <xf numFmtId="15" fontId="14" fillId="0" borderId="0" applyAlignment="1" pivotButton="0" quotePrefix="0" xfId="0">
      <alignment horizontal="right"/>
    </xf>
    <xf numFmtId="15" fontId="6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8" fillId="0" borderId="2" pivotButton="0" quotePrefix="0" xfId="0"/>
    <xf numFmtId="0" fontId="0" fillId="0" borderId="2" pivotButton="0" quotePrefix="0" xfId="0"/>
    <xf numFmtId="167" fontId="10" fillId="0" borderId="2" pivotButton="0" quotePrefix="0" xfId="0"/>
    <xf numFmtId="167" fontId="8" fillId="0" borderId="2" pivotButton="0" quotePrefix="0" xfId="0"/>
    <xf numFmtId="167" fontId="7" fillId="0" borderId="2" pivotButton="0" quotePrefix="0" xfId="0"/>
    <xf numFmtId="0" fontId="15" fillId="7" borderId="2" pivotButton="0" quotePrefix="0" xfId="0"/>
    <xf numFmtId="0" fontId="16" fillId="7" borderId="2" pivotButton="0" quotePrefix="0" xfId="0"/>
    <xf numFmtId="167" fontId="15" fillId="7" borderId="2" pivotButton="0" quotePrefix="0" xfId="0"/>
    <xf numFmtId="0" fontId="0" fillId="10" borderId="0" pivotButton="0" quotePrefix="0" xfId="0"/>
    <xf numFmtId="0" fontId="15" fillId="9" borderId="2" pivotButton="0" quotePrefix="0" xfId="0"/>
    <xf numFmtId="0" fontId="16" fillId="9" borderId="2" pivotButton="0" quotePrefix="0" xfId="0"/>
    <xf numFmtId="167" fontId="15" fillId="9" borderId="2" pivotButton="0" quotePrefix="0" xfId="0"/>
    <xf numFmtId="0" fontId="7" fillId="11" borderId="0" pivotButton="0" quotePrefix="0" xfId="0"/>
    <xf numFmtId="0" fontId="0" fillId="11" borderId="0" pivotButton="0" quotePrefix="0" xfId="0"/>
    <xf numFmtId="167" fontId="17" fillId="11" borderId="0" pivotButton="0" quotePrefix="0" xfId="0"/>
    <xf numFmtId="167" fontId="7" fillId="11" borderId="0" pivotButton="0" quotePrefix="0" xfId="0"/>
    <xf numFmtId="167" fontId="7" fillId="8" borderId="0" pivotButton="0" quotePrefix="0" xfId="0"/>
    <xf numFmtId="0" fontId="10" fillId="0" borderId="0" pivotButton="0" quotePrefix="0" xfId="0"/>
    <xf numFmtId="169" fontId="7" fillId="9" borderId="0" pivotButton="0" quotePrefix="0" xfId="0"/>
    <xf numFmtId="1" fontId="8" fillId="0" borderId="0" pivotButton="0" quotePrefix="0" xfId="0"/>
    <xf numFmtId="1" fontId="7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Weekly closing bank balance (RM)</a:t>
            </a:r>
          </a:p>
        </rich>
      </tx>
    </title>
    <plotArea>
      <lineChart>
        <grouping val="standard"/>
        <ser>
          <idx val="0"/>
          <order val="0"/>
          <tx>
            <v>Maybank + RHB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'Q4 Weekly Cash Flow'!$D$11:$Q$11</f>
            </numRef>
          </cat>
          <val>
            <numRef>
              <f>'Q4 Weekly Cash Flow'!$D$77:$Q$77</f>
            </numRef>
          </val>
        </ser>
        <ser>
          <idx val="1"/>
          <order val="1"/>
          <tx>
            <v>Maybank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'Q4 Weekly Cash Flow'!$D$11:$Q$11</f>
            </numRef>
          </cat>
          <val>
            <numRef>
              <f>'Q4 Weekly Cash Flow'!$D$99:$Q$99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102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</cols>
  <sheetData>
    <row r="1">
      <c r="A1" s="50" t="inlineStr">
        <is>
          <t>TOP GLOBAL FOOD AND BEVERAGES SDN BHD</t>
        </is>
      </c>
    </row>
    <row r="2">
      <c r="A2" s="51" t="inlineStr">
        <is>
          <t>Forecast bank position at 31 December 2026 — Maybank &amp; RHB</t>
        </is>
      </c>
    </row>
    <row r="3">
      <c r="A3" s="52" t="inlineStr">
        <is>
          <t>From the 30 Sep forecast balances. Weekly detail in 'Q4 Weekly Cash Flow' (cash flow template layout); inputs in 'Q4 Assumptions'.</t>
        </is>
      </c>
    </row>
    <row r="5">
      <c r="A5" s="53" t="inlineStr">
        <is>
          <t>RM</t>
        </is>
      </c>
      <c r="B5" s="53" t="inlineStr">
        <is>
          <t>Maybank</t>
        </is>
      </c>
      <c r="C5" s="53" t="inlineStr">
        <is>
          <t>RHB</t>
        </is>
      </c>
      <c r="D5" s="53" t="inlineStr">
        <is>
          <t>Maybank + RHB</t>
        </is>
      </c>
    </row>
    <row r="6">
      <c r="A6" s="54" t="inlineStr">
        <is>
          <t>Bank balance at 1 Oct 2026</t>
        </is>
      </c>
      <c r="B6" s="55">
        <f>'Q4 Assumptions'!$B$7</f>
        <v/>
      </c>
      <c r="C6" s="55">
        <f>'Q4 Assumptions'!$B$8</f>
        <v/>
      </c>
      <c r="D6" s="55">
        <f>'Q4 Weekly Cash Flow'!R76</f>
        <v/>
      </c>
    </row>
    <row r="7">
      <c r="A7" s="56" t="inlineStr">
        <is>
          <t>Net Cash Flow from Operations</t>
        </is>
      </c>
      <c r="B7" s="57">
        <f>D7-C7</f>
        <v/>
      </c>
      <c r="C7" s="58">
        <f>'Q4 Weekly Cash Flow'!R94+'Q4 Weekly Cash Flow'!R95</f>
        <v/>
      </c>
      <c r="D7" s="58">
        <f>'Q4 Weekly Cash Flow'!R41</f>
        <v/>
      </c>
    </row>
    <row r="8">
      <c r="A8" s="56" t="inlineStr">
        <is>
          <t>Net Cash Flow from Investing Activities</t>
        </is>
      </c>
      <c r="B8" s="57">
        <f>D8-C8</f>
        <v/>
      </c>
      <c r="C8" s="59" t="n">
        <v>0</v>
      </c>
      <c r="D8" s="58">
        <f>'Q4 Weekly Cash Flow'!R56</f>
        <v/>
      </c>
    </row>
    <row r="9">
      <c r="A9" s="56" t="inlineStr">
        <is>
          <t>Net Cash Flow from Financing Activities</t>
        </is>
      </c>
      <c r="B9" s="57">
        <f>D9-C9</f>
        <v/>
      </c>
      <c r="C9" s="59" t="n">
        <v>0</v>
      </c>
      <c r="D9" s="58">
        <f>'Q4 Weekly Cash Flow'!R72</f>
        <v/>
      </c>
    </row>
    <row r="10">
      <c r="A10" s="56" t="inlineStr">
        <is>
          <t>Transfers Maybank → RHB (payroll top-ups)</t>
        </is>
      </c>
      <c r="B10" s="58">
        <f>-'Q4 Weekly Cash Flow'!R97</f>
        <v/>
      </c>
      <c r="C10" s="58">
        <f>'Q4 Weekly Cash Flow'!R97</f>
        <v/>
      </c>
      <c r="D10" s="57">
        <f>B10+C10</f>
        <v/>
      </c>
    </row>
    <row r="11">
      <c r="A11" s="54" t="inlineStr">
        <is>
          <t>Net Cash Flow 1 Oct – 31 Dec</t>
        </is>
      </c>
      <c r="B11" s="60">
        <f>SUM(B7:B10)</f>
        <v/>
      </c>
      <c r="C11" s="60">
        <f>SUM(C7:C10)</f>
        <v/>
      </c>
      <c r="D11" s="60">
        <f>SUM(D7:D10)</f>
        <v/>
      </c>
    </row>
    <row r="12">
      <c r="A12" s="61" t="inlineStr">
        <is>
          <t>Forecast bank balance at 31 Dec 2026</t>
        </is>
      </c>
      <c r="B12" s="62">
        <f>B6+B11</f>
        <v/>
      </c>
      <c r="C12" s="62">
        <f>C6+C11</f>
        <v/>
      </c>
      <c r="D12" s="62">
        <f>D6+D11</f>
        <v/>
      </c>
    </row>
    <row r="13">
      <c r="A13" s="52" t="inlineStr">
        <is>
          <t>Check vs weekly sheet (should be 0)</t>
        </is>
      </c>
      <c r="B13" s="63">
        <f>ROUND(B12-'Q4 Weekly Cash Flow'!R99,2)</f>
        <v/>
      </c>
      <c r="C13" s="63">
        <f>ROUND(C12-'Q4 Weekly Cash Flow'!R98,2)</f>
        <v/>
      </c>
      <c r="D13" s="63">
        <f>ROUND(D12-'Q4 Weekly Cash Flow'!R77,2)</f>
        <v/>
      </c>
    </row>
    <row r="15">
      <c r="A15" s="64" t="inlineStr">
        <is>
          <t>Key indicators</t>
        </is>
      </c>
      <c r="B15" s="65" t="n"/>
      <c r="C15" s="65" t="n"/>
      <c r="D15" s="65" t="n"/>
    </row>
    <row r="16">
      <c r="A16" s="56" t="inlineStr">
        <is>
          <t>Lowest weekly closing balance (Maybank + RHB)</t>
        </is>
      </c>
      <c r="D16" s="57">
        <f>MIN('Q4 Weekly Cash Flow'!$D$77:$Q$77)</f>
        <v/>
      </c>
    </row>
    <row r="17">
      <c r="A17" s="56" t="inlineStr">
        <is>
          <t>Week ending of lowest balance</t>
        </is>
      </c>
      <c r="D17" s="66">
        <f>INDEX('Q4 Weekly Cash Flow'!$D$11:$Q$11,MATCH(D16,'Q4 Weekly Cash Flow'!$D$77:$Q$77,0))</f>
        <v/>
      </c>
    </row>
    <row r="18">
      <c r="A18" s="56" t="inlineStr">
        <is>
          <t>Lowest weekly Maybank balance</t>
        </is>
      </c>
      <c r="B18" s="57">
        <f>MIN('Q4 Weekly Cash Flow'!$D$99:$Q$99)</f>
        <v/>
      </c>
    </row>
    <row r="19">
      <c r="A19" s="56" t="inlineStr">
        <is>
          <t>Outlets operating at 31 Dec (34 + new openings)</t>
        </is>
      </c>
      <c r="D19" s="67">
        <f>'Q4 Outlet Schedule'!C21</f>
        <v/>
      </c>
    </row>
    <row r="20">
      <c r="A20" s="56" t="inlineStr">
        <is>
          <t>New-outlet sales Oct–Dec</t>
        </is>
      </c>
      <c r="D20" s="58">
        <f>'Q4 Outlet Schedule'!W18</f>
        <v/>
      </c>
    </row>
    <row r="21">
      <c r="A21" s="56" t="inlineStr">
        <is>
          <t>Capex on new outlets Oct–Dec</t>
        </is>
      </c>
      <c r="D21" s="57">
        <f>-'Q4 Weekly Cash Flow'!R89</f>
        <v/>
      </c>
    </row>
    <row r="23">
      <c r="A23" s="64" t="inlineStr">
        <is>
          <t>Assumptions to confirm (yellow in 'Q4 Assumptions')</t>
        </is>
      </c>
      <c r="B23" s="65" t="n"/>
      <c r="C23" s="65" t="n"/>
      <c r="D23" s="65" t="n"/>
    </row>
    <row r="24" ht="40" customHeight="1">
      <c r="A24" s="68" t="inlineStr">
        <is>
          <t>1. Existing 34 outlets: each template line runs at its September actual (1–28 Sep, Maybank) — daily lines ÷ 28 days, monthly lines once a month. One-offs (Sep licensing fee, deposits, capex, RM2M FD placement) are not repeated.</t>
        </is>
      </c>
      <c r="B24" s="1" t="n"/>
      <c r="C24" s="1" t="n"/>
      <c r="D24" s="1" t="n"/>
    </row>
    <row r="25" ht="40" customHeight="1">
      <c r="A25" s="68" t="inlineStr">
        <is>
          <t>2. Wages: RM1M in the first week of each month (Maybank, 3rd) + RM475k in the week of the 25th (RHB; you said RM450k–500k), each +2% per new outlet open. Foreign workers RM920k mid-Oct and RM200k mid-Dec; bonus RM300k end-Dec.</t>
        </is>
      </c>
      <c r="B25" s="1" t="n"/>
      <c r="C25" s="1" t="n"/>
      <c r="D25" s="1" t="n"/>
    </row>
    <row r="26" ht="40" customHeight="1">
      <c r="A26" s="68" t="inlineStr">
        <is>
          <t>3. Advance to related parties (RM192.7k in Sep) assumed to repeat monthly (prudent). Switch its Basis to 'Excluded' if it was one-off.</t>
        </is>
      </c>
      <c r="B26" s="1" t="n"/>
      <c r="C26" s="1" t="n"/>
      <c r="D26" s="1" t="n"/>
    </row>
    <row r="27" ht="40" customHeight="1">
      <c r="A27" s="68" t="inlineStr">
        <is>
          <t>4. New outlets: RM8k/day sales; each new outlet open adds +3% to inventory purchases and +1% to branch upkeep (on the Sep daily level); rental 5% of new-outlet sales. Bebeks RM400k mid-Oct, Kopitiam RM350k on 31 Dec.</t>
        </is>
      </c>
      <c r="B27" s="1" t="n"/>
      <c r="C27" s="1" t="n"/>
      <c r="D27" s="1" t="n"/>
    </row>
    <row r="28" ht="40" customHeight="1">
      <c r="A28" s="68" t="inlineStr">
        <is>
          <t>5. Deposits for 5 new outlets RM30k each (amount not given). SST Sep–Oct ≈ Jul–Aug amount, due 30 Nov.</t>
        </is>
      </c>
      <c r="B28" s="1" t="n"/>
      <c r="C28" s="1" t="n"/>
      <c r="D28" s="1" t="n"/>
    </row>
    <row r="29" ht="40" customHeight="1">
      <c r="A29" s="68" t="inlineStr">
        <is>
          <t>6. Capex balance paid 45 days before grand opening (Cheras &amp; PJ balances on 1 Oct). Pasir Gudang fully paid. ICOMSRWK excluded (GO TBD). FD excluded (matures 2027).</t>
        </is>
      </c>
      <c r="B29" s="1" t="n"/>
      <c r="C29" s="1" t="n"/>
      <c r="D29" s="1" t="n"/>
    </row>
  </sheetData>
  <mergeCells count="6">
    <mergeCell ref="A27:D27"/>
    <mergeCell ref="A26:D26"/>
    <mergeCell ref="A29:D29"/>
    <mergeCell ref="A25:D25"/>
    <mergeCell ref="A24:D24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55" customWidth="1" min="8" max="8"/>
  </cols>
  <sheetData>
    <row r="1" ht="26" customHeight="1">
      <c r="A1" s="7" t="inlineStr">
        <is>
          <t>TGFB — Forecast Cash Position as at 30 September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3" t="inlineStr">
        <is>
          <t>Bridge from actual 28 Sep balances to 30 Sep. Maybank inflow uses same-weekday September median; RHB uses average daily cash deposits.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17" t="inlineStr">
        <is>
          <t>Date</t>
        </is>
      </c>
      <c r="B4" s="17" t="inlineStr">
        <is>
          <t>Bank</t>
        </is>
      </c>
      <c r="C4" s="17" t="inlineStr">
        <is>
          <t>Opening Balance</t>
        </is>
      </c>
      <c r="D4" s="17" t="inlineStr">
        <is>
          <t>Forecast Cash In</t>
        </is>
      </c>
      <c r="E4" s="17" t="inlineStr">
        <is>
          <t>Forecast Cash Out</t>
        </is>
      </c>
      <c r="F4" s="17" t="inlineStr">
        <is>
          <t>Net Cash Flow</t>
        </is>
      </c>
      <c r="G4" s="17" t="inlineStr">
        <is>
          <t>Closing Balance</t>
        </is>
      </c>
      <c r="H4" s="17" t="inlineStr">
        <is>
          <t>Basis</t>
        </is>
      </c>
    </row>
    <row r="5">
      <c r="A5" s="69" t="n">
        <v>46293</v>
      </c>
      <c r="B5" s="30" t="inlineStr">
        <is>
          <t>Maybank</t>
        </is>
      </c>
      <c r="C5" s="70" t="n">
        <v>13269622.6</v>
      </c>
      <c r="D5" s="70" t="n">
        <v>0</v>
      </c>
      <c r="E5" s="70" t="n">
        <v>0</v>
      </c>
      <c r="F5" s="70" t="n">
        <v>0</v>
      </c>
      <c r="G5" s="70" t="n">
        <v>13269622.6</v>
      </c>
      <c r="H5" s="30" t="inlineStr">
        <is>
          <t>Actual closing balance 28 Sep</t>
        </is>
      </c>
    </row>
    <row r="6">
      <c r="A6" s="69" t="n">
        <v>46294</v>
      </c>
      <c r="B6" s="30" t="inlineStr">
        <is>
          <t>Maybank</t>
        </is>
      </c>
      <c r="C6" s="70">
        <f>G5</f>
        <v/>
      </c>
      <c r="D6" s="70" t="n">
        <v>317348.35</v>
      </c>
      <c r="E6" s="70" t="n">
        <v>393281.82</v>
      </c>
      <c r="F6" s="70">
        <f>D6-E6</f>
        <v/>
      </c>
      <c r="G6" s="70">
        <f>C6+F6</f>
        <v/>
      </c>
      <c r="H6" s="30" t="inlineStr">
        <is>
          <t>Tue median inflow; remaining payment schedule incl. 28 Sep Maker carry-forward</t>
        </is>
      </c>
    </row>
    <row r="7">
      <c r="A7" s="69" t="n">
        <v>46295</v>
      </c>
      <c r="B7" s="30" t="inlineStr">
        <is>
          <t>Maybank</t>
        </is>
      </c>
      <c r="C7" s="70">
        <f>G6</f>
        <v/>
      </c>
      <c r="D7" s="70" t="n">
        <v>305975.2</v>
      </c>
      <c r="E7" s="70" t="n">
        <v>1165510.26</v>
      </c>
      <c r="F7" s="70">
        <f>D7-E7</f>
        <v/>
      </c>
      <c r="G7" s="70">
        <f>C7+F7</f>
        <v/>
      </c>
      <c r="H7" s="30" t="inlineStr">
        <is>
          <t>Wed median inflow + RM8k Pasir Gudang opening-day sales; TGFB payment schedule</t>
        </is>
      </c>
    </row>
    <row r="8">
      <c r="A8" s="69" t="n">
        <v>46295</v>
      </c>
      <c r="B8" s="30" t="inlineStr">
        <is>
          <t>Maybank Total Sep</t>
        </is>
      </c>
      <c r="C8" s="70" t="n">
        <v>14257277.95</v>
      </c>
      <c r="D8" s="70">
        <f>9377264.19+D6+D7</f>
        <v/>
      </c>
      <c r="E8" s="70">
        <f>10364919.54+E6+E7</f>
        <v/>
      </c>
      <c r="F8" s="70">
        <f>D8-E8</f>
        <v/>
      </c>
      <c r="G8" s="70">
        <f>C8+F8</f>
        <v/>
      </c>
      <c r="H8" s="30" t="inlineStr">
        <is>
          <t>Monthly Sep forecast after 29-30 Sep bridge</t>
        </is>
      </c>
    </row>
    <row r="9">
      <c r="A9" s="69" t="n"/>
      <c r="B9" s="30" t="n"/>
      <c r="C9" s="70" t="n"/>
      <c r="D9" s="70" t="n"/>
      <c r="E9" s="70" t="n"/>
      <c r="F9" s="70" t="n"/>
      <c r="G9" s="70" t="n"/>
      <c r="H9" s="30" t="n"/>
    </row>
    <row r="10">
      <c r="A10" s="69" t="n">
        <v>46293</v>
      </c>
      <c r="B10" s="30" t="inlineStr">
        <is>
          <t>RHB</t>
        </is>
      </c>
      <c r="C10" s="70" t="n">
        <v>14440.97</v>
      </c>
      <c r="D10" s="70" t="n">
        <v>0</v>
      </c>
      <c r="E10" s="70" t="n">
        <v>0</v>
      </c>
      <c r="F10" s="70" t="n">
        <v>0</v>
      </c>
      <c r="G10" s="70" t="n">
        <v>14440.97</v>
      </c>
      <c r="H10" s="30" t="inlineStr">
        <is>
          <t>Actual closing balance from RHB transaction CSV</t>
        </is>
      </c>
    </row>
    <row r="11">
      <c r="A11" s="69" t="n">
        <v>46294</v>
      </c>
      <c r="B11" s="30" t="inlineStr">
        <is>
          <t>RHB</t>
        </is>
      </c>
      <c r="C11" s="70">
        <f>G10</f>
        <v/>
      </c>
      <c r="D11" s="70" t="n">
        <v>1775.714285714286</v>
      </c>
      <c r="E11" s="70" t="n">
        <v>0</v>
      </c>
      <c r="F11" s="70">
        <f>D11-E11</f>
        <v/>
      </c>
      <c r="G11" s="70">
        <f>C11+F11</f>
        <v/>
      </c>
      <c r="H11" s="30" t="inlineStr">
        <is>
          <t>Forecast using average daily cash deposits; no known scheduled RHB outflow</t>
        </is>
      </c>
    </row>
    <row r="12">
      <c r="A12" s="69" t="n">
        <v>46295</v>
      </c>
      <c r="B12" s="30" t="inlineStr">
        <is>
          <t>RHB</t>
        </is>
      </c>
      <c r="C12" s="70">
        <f>G11</f>
        <v/>
      </c>
      <c r="D12" s="70" t="n">
        <v>1775.714285714286</v>
      </c>
      <c r="E12" s="70" t="n">
        <v>0</v>
      </c>
      <c r="F12" s="70">
        <f>D12-E12</f>
        <v/>
      </c>
      <c r="G12" s="70">
        <f>C12+F12</f>
        <v/>
      </c>
      <c r="H12" s="30" t="inlineStr">
        <is>
          <t>Forecast using average daily cash deposits; no known scheduled RHB outflow</t>
        </is>
      </c>
    </row>
    <row r="13">
      <c r="A13" s="69" t="n">
        <v>46295</v>
      </c>
      <c r="B13" s="30" t="inlineStr">
        <is>
          <t>RHB Total Sep</t>
        </is>
      </c>
      <c r="C13" s="70" t="n">
        <v>35880.04</v>
      </c>
      <c r="D13" s="70" t="n">
        <v>425699.5785714285</v>
      </c>
      <c r="E13" s="70" t="n">
        <v>443587.22</v>
      </c>
      <c r="F13" s="70">
        <f>D13-E13</f>
        <v/>
      </c>
      <c r="G13" s="70">
        <f>C13+F13</f>
        <v/>
      </c>
      <c r="H13" s="30" t="inlineStr">
        <is>
          <t>Monthly Sep forecast</t>
        </is>
      </c>
    </row>
    <row r="15">
      <c r="A15" s="22" t="inlineStr">
        <is>
          <t>CONSOLIDATED TGFB BANK POSITION</t>
        </is>
      </c>
      <c r="B15" s="22" t="str"/>
      <c r="C15" s="22" t="str"/>
      <c r="D15" s="22" t="str"/>
      <c r="E15" s="22" t="str"/>
      <c r="F15" s="22" t="str"/>
      <c r="G15" s="22" t="str"/>
      <c r="H15" s="22" t="str"/>
    </row>
    <row r="16">
      <c r="A16" t="inlineStr">
        <is>
          <t>Opening balance 1 Sep 2026</t>
        </is>
      </c>
      <c r="B16" s="71" t="n">
        <v>14293157.99</v>
      </c>
    </row>
    <row r="17">
      <c r="A17" t="inlineStr">
        <is>
          <t>Forecast closing Maybank 30 Sep</t>
        </is>
      </c>
      <c r="B17" s="71">
        <f>G7</f>
        <v/>
      </c>
    </row>
    <row r="18">
      <c r="A18" t="inlineStr">
        <is>
          <t>Forecast closing RHB 30 Sep</t>
        </is>
      </c>
      <c r="B18" s="71">
        <f>G12</f>
        <v/>
      </c>
    </row>
    <row r="19">
      <c r="A19" s="27" t="inlineStr">
        <is>
          <t>Forecast combined cash at 30 Sep</t>
        </is>
      </c>
      <c r="B19" s="72">
        <f>B17+B18</f>
        <v/>
      </c>
    </row>
    <row r="20">
      <c r="B20" s="71" t="n"/>
    </row>
    <row r="21">
      <c r="A21" s="24" t="inlineStr">
        <is>
          <t>Forecast combined Sep Net Cash Flow</t>
        </is>
      </c>
      <c r="B21" s="73">
        <f>B19-B16</f>
        <v/>
      </c>
    </row>
    <row r="22">
      <c r="A22" s="24" t="inlineStr">
        <is>
          <t>Maybank forecast 29-30 cash inflow</t>
        </is>
      </c>
      <c r="B22" s="73">
        <f>D6+D7</f>
        <v/>
      </c>
    </row>
    <row r="23">
      <c r="A23" s="24" t="inlineStr">
        <is>
          <t>Maybank forecast 29-30 cash outflow</t>
        </is>
      </c>
      <c r="B23" s="73">
        <f>E6+E7</f>
        <v/>
      </c>
    </row>
    <row r="24">
      <c r="A24" s="24" t="inlineStr">
        <is>
          <t>RHB forecast 29-30 cash inflow</t>
        </is>
      </c>
      <c r="B24" s="73">
        <f>D11+D12</f>
        <v/>
      </c>
    </row>
    <row r="25">
      <c r="A25" s="24" t="inlineStr">
        <is>
          <t>Incremental Pasir Gudang sales on 30 Sep</t>
        </is>
      </c>
      <c r="B25" s="73" t="n">
        <v>8000</v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55" customWidth="1" min="4" max="4"/>
    <col width="16" customWidth="1" min="5" max="5"/>
    <col width="15" customWidth="1" min="6" max="6"/>
    <col width="18" customWidth="1" min="7" max="7"/>
    <col width="26" customWidth="1" min="8" max="8"/>
  </cols>
  <sheetData>
    <row r="1">
      <c r="A1" s="43" t="inlineStr">
        <is>
          <t>Original Date</t>
        </is>
      </c>
      <c r="B1" s="43" t="inlineStr">
        <is>
          <t>Forecast Pay Date</t>
        </is>
      </c>
      <c r="C1" s="43" t="inlineStr">
        <is>
          <t>Supplier</t>
        </is>
      </c>
      <c r="D1" s="43" t="inlineStr">
        <is>
          <t>Description</t>
        </is>
      </c>
      <c r="E1" s="43" t="inlineStr">
        <is>
          <t>Amount (RM)</t>
        </is>
      </c>
      <c r="F1" s="43" t="inlineStr">
        <is>
          <t>Payment Type</t>
        </is>
      </c>
      <c r="G1" s="43" t="inlineStr">
        <is>
          <t>Outlet</t>
        </is>
      </c>
      <c r="H1" s="43" t="inlineStr">
        <is>
          <t>Status / Note</t>
        </is>
      </c>
    </row>
    <row r="2">
      <c r="A2" s="69" t="n">
        <v>46293</v>
      </c>
      <c r="B2" s="69" t="n">
        <v>46294</v>
      </c>
      <c r="C2" s="30" t="inlineStr">
        <is>
          <t>KONG FU PLUMBERS</t>
        </is>
      </c>
      <c r="D2" s="30" t="inlineStr">
        <is>
          <t>Repair water tank - Seremban</t>
        </is>
      </c>
      <c r="E2" s="70" t="n">
        <v>400</v>
      </c>
      <c r="F2" s="30" t="inlineStr">
        <is>
          <t>Interbank</t>
        </is>
      </c>
      <c r="G2" s="30" t="inlineStr">
        <is>
          <t>SEREMBAN</t>
        </is>
      </c>
      <c r="H2" s="30" t="inlineStr">
        <is>
          <t>Maker Carry to 29 Sep forecast</t>
        </is>
      </c>
    </row>
    <row r="3">
      <c r="A3" s="69" t="n">
        <v>46293</v>
      </c>
      <c r="B3" s="69" t="n">
        <v>46294</v>
      </c>
      <c r="C3" s="30" t="inlineStr">
        <is>
          <t>TENAGA NASIONAL BERHAD</t>
        </is>
      </c>
      <c r="D3" s="30" t="inlineStr">
        <is>
          <t>TNB Sep - Segamat 40 outlet</t>
        </is>
      </c>
      <c r="E3" s="70" t="n">
        <v>4607.95</v>
      </c>
      <c r="F3" s="30" t="inlineStr">
        <is>
          <t>JomPAY</t>
        </is>
      </c>
      <c r="G3" s="30" t="inlineStr">
        <is>
          <t>SEGAMAT</t>
        </is>
      </c>
      <c r="H3" s="30" t="inlineStr">
        <is>
          <t>Maker Carry to 29 Sep forecast</t>
        </is>
      </c>
    </row>
    <row r="4">
      <c r="A4" s="69" t="n">
        <v>46293</v>
      </c>
      <c r="B4" s="69" t="n">
        <v>46294</v>
      </c>
      <c r="C4" s="30" t="inlineStr">
        <is>
          <t>EL GREAT SOLUTION</t>
        </is>
      </c>
      <c r="D4" s="30" t="inlineStr">
        <is>
          <t>Upkeep of branch - KLTS</t>
        </is>
      </c>
      <c r="E4" s="70" t="n">
        <v>35</v>
      </c>
      <c r="F4" s="30" t="inlineStr">
        <is>
          <t>MBB</t>
        </is>
      </c>
      <c r="G4" s="30" t="inlineStr">
        <is>
          <t>KLTS</t>
        </is>
      </c>
      <c r="H4" s="30" t="inlineStr">
        <is>
          <t>Maker Carry to 29 Sep forecast</t>
        </is>
      </c>
    </row>
    <row r="5">
      <c r="A5" s="69" t="n">
        <v>46294</v>
      </c>
      <c r="B5" s="69" t="n">
        <v>46294</v>
      </c>
      <c r="C5" s="30" t="inlineStr">
        <is>
          <t>TGCK</t>
        </is>
      </c>
      <c r="D5" s="30" t="inlineStr">
        <is>
          <t>Inventory TGCK 07.09.2026 to 08.09.2026</t>
        </is>
      </c>
      <c r="E5" s="70" t="n">
        <v>214982.6</v>
      </c>
      <c r="F5" s="30" t="inlineStr">
        <is>
          <t>M2E</t>
        </is>
      </c>
      <c r="G5" s="30" t="inlineStr">
        <is>
          <t>TGCK</t>
        </is>
      </c>
      <c r="H5" s="30" t="inlineStr">
        <is>
          <t>Maker</t>
        </is>
      </c>
    </row>
    <row r="6">
      <c r="A6" s="69" t="n">
        <v>46294</v>
      </c>
      <c r="B6" s="69" t="n">
        <v>46294</v>
      </c>
      <c r="C6" s="30" t="inlineStr">
        <is>
          <t>AHRA INTERIOR</t>
        </is>
      </c>
      <c r="D6" s="30" t="inlineStr">
        <is>
          <t>Outlet renovation - Petaling Jaya (1st payment)</t>
        </is>
      </c>
      <c r="E6" s="70" t="n">
        <v>122330.7</v>
      </c>
      <c r="F6" s="30" t="inlineStr">
        <is>
          <t>M2E</t>
        </is>
      </c>
      <c r="G6" s="30" t="inlineStr">
        <is>
          <t>PETALING JAYA</t>
        </is>
      </c>
      <c r="H6" s="30" t="inlineStr">
        <is>
          <t>Maker</t>
        </is>
      </c>
    </row>
    <row r="7">
      <c r="A7" s="69" t="n">
        <v>46294</v>
      </c>
      <c r="B7" s="69" t="n">
        <v>46294</v>
      </c>
      <c r="C7" s="30" t="inlineStr">
        <is>
          <t>TK STEEL SUPPLIES</t>
        </is>
      </c>
      <c r="D7" s="30" t="inlineStr">
        <is>
          <t>Foodtruck - 6th payment</t>
        </is>
      </c>
      <c r="E7" s="70" t="n">
        <v>20219</v>
      </c>
      <c r="F7" s="30" t="inlineStr">
        <is>
          <t>M2E</t>
        </is>
      </c>
      <c r="G7" s="30" t="inlineStr">
        <is>
          <t>HQ</t>
        </is>
      </c>
      <c r="H7" s="30" t="inlineStr">
        <is>
          <t>Maker</t>
        </is>
      </c>
    </row>
    <row r="8">
      <c r="A8" s="69" t="n">
        <v>46294</v>
      </c>
      <c r="B8" s="69" t="n">
        <v>46294</v>
      </c>
      <c r="C8" s="30" t="inlineStr">
        <is>
          <t>TENAGA NASIONAL BERHAD</t>
        </is>
      </c>
      <c r="D8" s="30" t="inlineStr">
        <is>
          <t>TNB Sep - Sg Besi outlet</t>
        </is>
      </c>
      <c r="E8" s="70" t="n">
        <v>5685</v>
      </c>
      <c r="F8" s="30" t="inlineStr">
        <is>
          <t>JomPAY</t>
        </is>
      </c>
      <c r="G8" s="30" t="inlineStr">
        <is>
          <t>SG BESI</t>
        </is>
      </c>
      <c r="H8" s="30" t="inlineStr">
        <is>
          <t>Maker</t>
        </is>
      </c>
    </row>
    <row r="9">
      <c r="A9" s="69" t="n">
        <v>46294</v>
      </c>
      <c r="B9" s="69" t="n">
        <v>46294</v>
      </c>
      <c r="C9" s="30" t="inlineStr">
        <is>
          <t>TOP GLOBAL FOOD AND BEVERAGES</t>
        </is>
      </c>
      <c r="D9" s="30" t="inlineStr">
        <is>
          <t>Hire purchase RU9577 - Jul 2026</t>
        </is>
      </c>
      <c r="E9" s="70" t="n">
        <v>4433</v>
      </c>
      <c r="F9" s="30" t="inlineStr">
        <is>
          <t>Interbank</t>
        </is>
      </c>
      <c r="G9" s="30" t="inlineStr">
        <is>
          <t>HQ</t>
        </is>
      </c>
      <c r="H9" s="30" t="inlineStr">
        <is>
          <t>Maker</t>
        </is>
      </c>
    </row>
    <row r="10">
      <c r="A10" s="69" t="n">
        <v>46294</v>
      </c>
      <c r="B10" s="69" t="n">
        <v>46294</v>
      </c>
      <c r="C10" s="30" t="inlineStr">
        <is>
          <t>IRHAS PUTRA</t>
        </is>
      </c>
      <c r="D10" s="30" t="inlineStr">
        <is>
          <t>Rental Oct - S13 G15 training centre</t>
        </is>
      </c>
      <c r="E10" s="70" t="n">
        <v>3900</v>
      </c>
      <c r="F10" s="30" t="inlineStr">
        <is>
          <t>MBB</t>
        </is>
      </c>
      <c r="G10" s="30" t="inlineStr">
        <is>
          <t>HQ</t>
        </is>
      </c>
      <c r="H10" s="30" t="inlineStr">
        <is>
          <t>Maker</t>
        </is>
      </c>
    </row>
    <row r="11">
      <c r="A11" s="69" t="n">
        <v>46294</v>
      </c>
      <c r="B11" s="69" t="n">
        <v>46294</v>
      </c>
      <c r="C11" s="30" t="inlineStr">
        <is>
          <t>HUSNA</t>
        </is>
      </c>
      <c r="D11" s="30" t="inlineStr">
        <is>
          <t>Cash advance - F1 Event</t>
        </is>
      </c>
      <c r="E11" s="70" t="n">
        <v>3845.77</v>
      </c>
      <c r="F11" s="30" t="inlineStr">
        <is>
          <t>MBB</t>
        </is>
      </c>
      <c r="G11" s="30" t="inlineStr">
        <is>
          <t>HQ</t>
        </is>
      </c>
      <c r="H11" s="30" t="inlineStr">
        <is>
          <t>Maker</t>
        </is>
      </c>
    </row>
    <row r="12">
      <c r="A12" s="69" t="n">
        <v>46294</v>
      </c>
      <c r="B12" s="69" t="n">
        <v>46294</v>
      </c>
      <c r="C12" s="30" t="inlineStr">
        <is>
          <t>TENAGA NASIONAL BERHAD</t>
        </is>
      </c>
      <c r="D12" s="30" t="inlineStr">
        <is>
          <t>TNB Sep - BSP 29G outlet</t>
        </is>
      </c>
      <c r="E12" s="70" t="n">
        <v>3540.1</v>
      </c>
      <c r="F12" s="30" t="inlineStr">
        <is>
          <t>JomPAY</t>
        </is>
      </c>
      <c r="G12" s="30" t="inlineStr">
        <is>
          <t>BSP</t>
        </is>
      </c>
      <c r="H12" s="30" t="inlineStr">
        <is>
          <t>Maker</t>
        </is>
      </c>
    </row>
    <row r="13">
      <c r="A13" s="69" t="n">
        <v>46294</v>
      </c>
      <c r="B13" s="69" t="n">
        <v>46294</v>
      </c>
      <c r="C13" s="30" t="inlineStr">
        <is>
          <t>TENAGA NASIONAL BERHAD</t>
        </is>
      </c>
      <c r="D13" s="30" t="inlineStr">
        <is>
          <t>TNB Sep - Cheras 85G outlet</t>
        </is>
      </c>
      <c r="E13" s="70" t="n">
        <v>2754.6</v>
      </c>
      <c r="F13" s="30" t="inlineStr">
        <is>
          <t>JomPAY</t>
        </is>
      </c>
      <c r="G13" s="30" t="inlineStr">
        <is>
          <t>CHERAS</t>
        </is>
      </c>
      <c r="H13" s="30" t="inlineStr">
        <is>
          <t>Maker</t>
        </is>
      </c>
    </row>
    <row r="14">
      <c r="A14" s="69" t="n">
        <v>46294</v>
      </c>
      <c r="B14" s="69" t="n">
        <v>46294</v>
      </c>
      <c r="C14" s="30" t="inlineStr">
        <is>
          <t>MM AIN ENTERPRISE</t>
        </is>
      </c>
      <c r="D14" s="30" t="inlineStr">
        <is>
          <t>Waste management Kuantan - Sep 2026</t>
        </is>
      </c>
      <c r="E14" s="70" t="n">
        <v>1000</v>
      </c>
      <c r="F14" s="30" t="inlineStr">
        <is>
          <t>Interbank</t>
        </is>
      </c>
      <c r="G14" s="30" t="inlineStr">
        <is>
          <t>KUANTAN</t>
        </is>
      </c>
      <c r="H14" s="30" t="inlineStr">
        <is>
          <t>Maker</t>
        </is>
      </c>
    </row>
    <row r="15">
      <c r="A15" s="69" t="n">
        <v>46294</v>
      </c>
      <c r="B15" s="69" t="n">
        <v>46294</v>
      </c>
      <c r="C15" s="30" t="inlineStr">
        <is>
          <t>KWSP</t>
        </is>
      </c>
      <c r="D15" s="30" t="inlineStr">
        <is>
          <t>KWSP Jul 2026</t>
        </is>
      </c>
      <c r="E15" s="70" t="n">
        <v>922</v>
      </c>
      <c r="F15" s="30" t="inlineStr">
        <is>
          <t>M2E</t>
        </is>
      </c>
      <c r="G15" s="30" t="inlineStr">
        <is>
          <t>HQ</t>
        </is>
      </c>
      <c r="H15" s="30" t="inlineStr">
        <is>
          <t>Maker</t>
        </is>
      </c>
    </row>
    <row r="16">
      <c r="A16" s="69" t="n">
        <v>46294</v>
      </c>
      <c r="B16" s="69" t="n">
        <v>46294</v>
      </c>
      <c r="C16" s="30" t="inlineStr">
        <is>
          <t>BERJAYA CKE</t>
        </is>
      </c>
      <c r="D16" s="30" t="inlineStr">
        <is>
          <t>Door installation - KLTS</t>
        </is>
      </c>
      <c r="E16" s="70" t="n">
        <v>650</v>
      </c>
      <c r="F16" s="30" t="inlineStr">
        <is>
          <t>Interbank</t>
        </is>
      </c>
      <c r="G16" s="30" t="inlineStr">
        <is>
          <t>KLTS</t>
        </is>
      </c>
      <c r="H16" s="30" t="inlineStr">
        <is>
          <t>Maker</t>
        </is>
      </c>
    </row>
    <row r="17">
      <c r="A17" s="69" t="n">
        <v>46294</v>
      </c>
      <c r="B17" s="69" t="n">
        <v>46294</v>
      </c>
      <c r="C17" s="30" t="inlineStr">
        <is>
          <t>MUHAMMAD AKMAL</t>
        </is>
      </c>
      <c r="D17" s="30" t="inlineStr">
        <is>
          <t>Insurance renewal - foreign workers</t>
        </is>
      </c>
      <c r="E17" s="70" t="n">
        <v>557</v>
      </c>
      <c r="F17" s="30" t="inlineStr">
        <is>
          <t>Interbank</t>
        </is>
      </c>
      <c r="G17" s="30" t="inlineStr">
        <is>
          <t>HQ</t>
        </is>
      </c>
      <c r="H17" s="30" t="inlineStr">
        <is>
          <t>Maker</t>
        </is>
      </c>
    </row>
    <row r="18">
      <c r="A18" s="69" t="n">
        <v>46294</v>
      </c>
      <c r="B18" s="69" t="n">
        <v>46294</v>
      </c>
      <c r="C18" s="30" t="inlineStr">
        <is>
          <t>GOPOS 365</t>
        </is>
      </c>
      <c r="D18" s="30" t="inlineStr">
        <is>
          <t>Thermal Hubbo printer - TTDI</t>
        </is>
      </c>
      <c r="E18" s="70" t="n">
        <v>550</v>
      </c>
      <c r="F18" s="30" t="inlineStr">
        <is>
          <t>Interbank</t>
        </is>
      </c>
      <c r="G18" s="30" t="inlineStr">
        <is>
          <t>TTDI</t>
        </is>
      </c>
      <c r="H18" s="30" t="inlineStr">
        <is>
          <t>Maker</t>
        </is>
      </c>
    </row>
    <row r="19">
      <c r="A19" s="69" t="n">
        <v>46294</v>
      </c>
      <c r="B19" s="69" t="n">
        <v>46294</v>
      </c>
      <c r="C19" s="30" t="inlineStr">
        <is>
          <t>SYABAS</t>
        </is>
      </c>
      <c r="D19" s="30" t="inlineStr">
        <is>
          <t>Syabas Sep - Cheras outlet</t>
        </is>
      </c>
      <c r="E19" s="70" t="n">
        <v>528.85</v>
      </c>
      <c r="F19" s="30" t="inlineStr">
        <is>
          <t>JomPAY</t>
        </is>
      </c>
      <c r="G19" s="30" t="inlineStr">
        <is>
          <t>CHERAS</t>
        </is>
      </c>
      <c r="H19" s="30" t="inlineStr">
        <is>
          <t>Maker</t>
        </is>
      </c>
    </row>
    <row r="20">
      <c r="A20" s="69" t="n">
        <v>46294</v>
      </c>
      <c r="B20" s="69" t="n">
        <v>46294</v>
      </c>
      <c r="C20" s="30" t="inlineStr">
        <is>
          <t>AFIQAH JAMIL</t>
        </is>
      </c>
      <c r="D20" s="30" t="inlineStr">
        <is>
          <t>Gas - Pasir Gudang</t>
        </is>
      </c>
      <c r="E20" s="70" t="n">
        <v>504</v>
      </c>
      <c r="F20" s="30" t="inlineStr">
        <is>
          <t>Interbank</t>
        </is>
      </c>
      <c r="G20" s="30" t="inlineStr">
        <is>
          <t>PASIR GUDANG</t>
        </is>
      </c>
      <c r="H20" s="30" t="inlineStr">
        <is>
          <t>Maker</t>
        </is>
      </c>
    </row>
    <row r="21">
      <c r="A21" s="69" t="n">
        <v>46294</v>
      </c>
      <c r="B21" s="69" t="n">
        <v>46294</v>
      </c>
      <c r="C21" s="30" t="inlineStr">
        <is>
          <t>TENAGA NASIONAL BERHAD</t>
        </is>
      </c>
      <c r="D21" s="30" t="inlineStr">
        <is>
          <t>TNB Sep - BSP 29-2 hostel</t>
        </is>
      </c>
      <c r="E21" s="70" t="n">
        <v>443.8</v>
      </c>
      <c r="F21" s="30" t="inlineStr">
        <is>
          <t>JomPAY</t>
        </is>
      </c>
      <c r="G21" s="30" t="inlineStr">
        <is>
          <t>BSP</t>
        </is>
      </c>
      <c r="H21" s="30" t="inlineStr">
        <is>
          <t>Maker</t>
        </is>
      </c>
    </row>
    <row r="22">
      <c r="A22" s="69" t="n">
        <v>46294</v>
      </c>
      <c r="B22" s="69" t="n">
        <v>46294</v>
      </c>
      <c r="C22" s="30" t="inlineStr">
        <is>
          <t>CHOP SOON KIONG</t>
        </is>
      </c>
      <c r="D22" s="30" t="inlineStr">
        <is>
          <t>Fire extinguisher - Pasir Gudang</t>
        </is>
      </c>
      <c r="E22" s="70" t="n">
        <v>360</v>
      </c>
      <c r="F22" s="30" t="inlineStr">
        <is>
          <t>MBB</t>
        </is>
      </c>
      <c r="G22" s="30" t="inlineStr">
        <is>
          <t>PASIR GUDANG</t>
        </is>
      </c>
      <c r="H22" s="30" t="inlineStr">
        <is>
          <t>Maker</t>
        </is>
      </c>
    </row>
    <row r="23">
      <c r="A23" s="69" t="n">
        <v>46294</v>
      </c>
      <c r="B23" s="69" t="n">
        <v>46294</v>
      </c>
      <c r="C23" s="30" t="inlineStr">
        <is>
          <t>TENAGA NASIONAL BERHAD</t>
        </is>
      </c>
      <c r="D23" s="30" t="inlineStr">
        <is>
          <t>TNB Sep - Cheras hostel 2</t>
        </is>
      </c>
      <c r="E23" s="70" t="n">
        <v>304.95</v>
      </c>
      <c r="F23" s="30" t="inlineStr">
        <is>
          <t>JomPAY</t>
        </is>
      </c>
      <c r="G23" s="30" t="inlineStr">
        <is>
          <t>CHERAS</t>
        </is>
      </c>
      <c r="H23" s="30" t="inlineStr">
        <is>
          <t>Maker</t>
        </is>
      </c>
    </row>
    <row r="24">
      <c r="A24" s="69" t="n">
        <v>46294</v>
      </c>
      <c r="B24" s="69" t="n">
        <v>46294</v>
      </c>
      <c r="C24" s="30" t="inlineStr">
        <is>
          <t>TENAGA NASIONAL BERHAD</t>
        </is>
      </c>
      <c r="D24" s="30" t="inlineStr">
        <is>
          <t>TNB Sep - Sg Besi hostel</t>
        </is>
      </c>
      <c r="E24" s="70" t="n">
        <v>272.8</v>
      </c>
      <c r="F24" s="30" t="inlineStr">
        <is>
          <t>JomPAY</t>
        </is>
      </c>
      <c r="G24" s="30" t="inlineStr">
        <is>
          <t>SG BESI</t>
        </is>
      </c>
      <c r="H24" s="30" t="inlineStr">
        <is>
          <t>Maker</t>
        </is>
      </c>
    </row>
    <row r="25">
      <c r="A25" s="69" t="n">
        <v>46294</v>
      </c>
      <c r="B25" s="69" t="n">
        <v>46294</v>
      </c>
      <c r="C25" s="30" t="inlineStr">
        <is>
          <t>SYABAS</t>
        </is>
      </c>
      <c r="D25" s="30" t="inlineStr">
        <is>
          <t>Syabas Sep - Cheras hostel 1</t>
        </is>
      </c>
      <c r="E25" s="70" t="n">
        <v>216.3</v>
      </c>
      <c r="F25" s="30" t="inlineStr">
        <is>
          <t>JomPAY</t>
        </is>
      </c>
      <c r="G25" s="30" t="inlineStr">
        <is>
          <t>CHERAS</t>
        </is>
      </c>
      <c r="H25" s="30" t="inlineStr">
        <is>
          <t>Maker</t>
        </is>
      </c>
    </row>
    <row r="26">
      <c r="A26" s="69" t="n">
        <v>46294</v>
      </c>
      <c r="B26" s="69" t="n">
        <v>46294</v>
      </c>
      <c r="C26" s="30" t="inlineStr">
        <is>
          <t>SYABAS</t>
        </is>
      </c>
      <c r="D26" s="30" t="inlineStr">
        <is>
          <t>Syabas Sep - Cheras hostel 2</t>
        </is>
      </c>
      <c r="E26" s="70" t="n">
        <v>89.95</v>
      </c>
      <c r="F26" s="30" t="inlineStr">
        <is>
          <t>JomPAY</t>
        </is>
      </c>
      <c r="G26" s="30" t="inlineStr">
        <is>
          <t>CHERAS</t>
        </is>
      </c>
      <c r="H26" s="30" t="inlineStr">
        <is>
          <t>Maker</t>
        </is>
      </c>
    </row>
    <row r="27">
      <c r="A27" s="69" t="n">
        <v>46294</v>
      </c>
      <c r="B27" s="69" t="n">
        <v>46294</v>
      </c>
      <c r="C27" s="30" t="inlineStr">
        <is>
          <t>TENAGA NASIONAL BERHAD</t>
        </is>
      </c>
      <c r="D27" s="30" t="inlineStr">
        <is>
          <t>TNB Sep - Cheras hostel 3</t>
        </is>
      </c>
      <c r="E27" s="70" t="n">
        <v>59.85</v>
      </c>
      <c r="F27" s="30" t="inlineStr">
        <is>
          <t>JomPAY</t>
        </is>
      </c>
      <c r="G27" s="30" t="inlineStr">
        <is>
          <t>CHERAS</t>
        </is>
      </c>
      <c r="H27" s="30" t="inlineStr">
        <is>
          <t>Maker</t>
        </is>
      </c>
    </row>
    <row r="28">
      <c r="A28" s="69" t="n">
        <v>46294</v>
      </c>
      <c r="B28" s="69" t="n">
        <v>46294</v>
      </c>
      <c r="C28" s="30" t="inlineStr">
        <is>
          <t>TENAGA NASIONAL BERHAD</t>
        </is>
      </c>
      <c r="D28" s="30" t="inlineStr">
        <is>
          <t>TNB Sep - Cheras hostel 1</t>
        </is>
      </c>
      <c r="E28" s="70" t="n">
        <v>56.15</v>
      </c>
      <c r="F28" s="30" t="inlineStr">
        <is>
          <t>JomPAY</t>
        </is>
      </c>
      <c r="G28" s="30" t="inlineStr">
        <is>
          <t>CHERAS</t>
        </is>
      </c>
      <c r="H28" s="30" t="inlineStr">
        <is>
          <t>Maker</t>
        </is>
      </c>
    </row>
    <row r="29">
      <c r="A29" s="69" t="n">
        <v>46294</v>
      </c>
      <c r="B29" s="69" t="n">
        <v>46294</v>
      </c>
      <c r="C29" s="30" t="inlineStr">
        <is>
          <t>SYABAS</t>
        </is>
      </c>
      <c r="D29" s="30" t="inlineStr">
        <is>
          <t>Syabas Sep - Cheras hostel 3</t>
        </is>
      </c>
      <c r="E29" s="70" t="n">
        <v>32.45</v>
      </c>
      <c r="F29" s="30" t="inlineStr">
        <is>
          <t>JomPAY</t>
        </is>
      </c>
      <c r="G29" s="30" t="inlineStr">
        <is>
          <t>CHERAS</t>
        </is>
      </c>
      <c r="H29" s="30" t="inlineStr">
        <is>
          <t>Maker</t>
        </is>
      </c>
    </row>
    <row r="30">
      <c r="A30" s="69" t="n">
        <v>46295</v>
      </c>
      <c r="B30" s="69" t="n">
        <v>46295</v>
      </c>
      <c r="C30" s="30" t="inlineStr">
        <is>
          <t>JABATAN KASTAM DIRAJA MALAYSIA</t>
        </is>
      </c>
      <c r="D30" s="30" t="inlineStr">
        <is>
          <t>SST TGFB - Jul &amp; Aug 2026</t>
        </is>
      </c>
      <c r="E30" s="70" t="n">
        <v>1152543.6</v>
      </c>
      <c r="F30" s="30" t="inlineStr">
        <is>
          <t>M2E</t>
        </is>
      </c>
      <c r="G30" s="30" t="inlineStr">
        <is>
          <t>TGFB</t>
        </is>
      </c>
      <c r="H30" s="30" t="str"/>
    </row>
    <row r="31">
      <c r="A31" s="69" t="n">
        <v>46295</v>
      </c>
      <c r="B31" s="69" t="n">
        <v>46295</v>
      </c>
      <c r="C31" s="30" t="inlineStr">
        <is>
          <t>TOP GLOBAL FOOD AND BEVERAGES</t>
        </is>
      </c>
      <c r="D31" s="30" t="inlineStr">
        <is>
          <t>Hire purchase VHQ537 - Jul 2026</t>
        </is>
      </c>
      <c r="E31" s="70" t="n">
        <v>5444</v>
      </c>
      <c r="F31" s="30" t="inlineStr">
        <is>
          <t>Interbank</t>
        </is>
      </c>
      <c r="G31" s="30" t="inlineStr">
        <is>
          <t>HQ</t>
        </is>
      </c>
      <c r="H31" s="30" t="inlineStr">
        <is>
          <t>Maker</t>
        </is>
      </c>
    </row>
    <row r="32">
      <c r="A32" s="69" t="n">
        <v>46295</v>
      </c>
      <c r="B32" s="69" t="n">
        <v>46295</v>
      </c>
      <c r="C32" s="30" t="inlineStr">
        <is>
          <t>NUR HANA NASIHAH</t>
        </is>
      </c>
      <c r="D32" s="30" t="inlineStr">
        <is>
          <t>Food training for staff</t>
        </is>
      </c>
      <c r="E32" s="70" t="n">
        <v>5000</v>
      </c>
      <c r="F32" s="30" t="inlineStr">
        <is>
          <t>Interbank</t>
        </is>
      </c>
      <c r="G32" s="30" t="inlineStr">
        <is>
          <t>HQ</t>
        </is>
      </c>
      <c r="H32" s="30" t="str"/>
    </row>
    <row r="33">
      <c r="A33" s="69" t="n">
        <v>46295</v>
      </c>
      <c r="B33" s="69" t="n">
        <v>46295</v>
      </c>
      <c r="C33" s="30" t="inlineStr">
        <is>
          <t>AINA NOORA</t>
        </is>
      </c>
      <c r="D33" s="30" t="inlineStr">
        <is>
          <t>Cash advance - Aina</t>
        </is>
      </c>
      <c r="E33" s="70" t="n">
        <v>2522.66</v>
      </c>
      <c r="F33" s="30" t="inlineStr">
        <is>
          <t>Interbank</t>
        </is>
      </c>
      <c r="G33" s="30" t="inlineStr">
        <is>
          <t>HQ</t>
        </is>
      </c>
      <c r="H33" s="30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26" customWidth="1" min="4" max="4"/>
    <col width="28" customWidth="1" min="5" max="5"/>
    <col width="15" customWidth="1" min="6" max="6"/>
    <col width="15" customWidth="1" min="7" max="7"/>
    <col width="17" customWidth="1" min="8" max="8"/>
  </cols>
  <sheetData>
    <row r="1">
      <c r="A1" s="43" t="inlineStr">
        <is>
          <t>Date</t>
        </is>
      </c>
      <c r="B1" s="43" t="inlineStr">
        <is>
          <t>Description</t>
        </is>
      </c>
      <c r="C1" s="43" t="inlineStr">
        <is>
          <t>Sender / Beneficiary</t>
        </is>
      </c>
      <c r="D1" s="43" t="inlineStr">
        <is>
          <t>Reference 1</t>
        </is>
      </c>
      <c r="E1" s="43" t="inlineStr">
        <is>
          <t>Reference 2</t>
        </is>
      </c>
      <c r="F1" s="43" t="inlineStr">
        <is>
          <t>Debit (RM)</t>
        </is>
      </c>
      <c r="G1" s="43" t="inlineStr">
        <is>
          <t>Credit (RM)</t>
        </is>
      </c>
      <c r="H1" s="43" t="inlineStr">
        <is>
          <t>Balance (RM)</t>
        </is>
      </c>
    </row>
    <row r="2">
      <c r="A2" s="69" t="n">
        <v>46266</v>
      </c>
      <c r="B2" s="30" t="inlineStr">
        <is>
          <t>CDT CASH DEPOSIT</t>
        </is>
      </c>
      <c r="C2" s="30" t="inlineStr">
        <is>
          <t>/</t>
        </is>
      </c>
      <c r="D2" s="30" t="inlineStr">
        <is>
          <t>/</t>
        </is>
      </c>
      <c r="E2" s="30" t="inlineStr">
        <is>
          <t>/</t>
        </is>
      </c>
      <c r="F2" s="70" t="n">
        <v>0</v>
      </c>
      <c r="G2" s="70" t="n">
        <v>100</v>
      </c>
      <c r="H2" s="70" t="n">
        <v>35980.04</v>
      </c>
    </row>
    <row r="3">
      <c r="A3" s="69" t="n">
        <v>46266</v>
      </c>
      <c r="B3" s="30" t="inlineStr">
        <is>
          <t>CDT CASH DEPOSIT</t>
        </is>
      </c>
      <c r="C3" s="30" t="inlineStr">
        <is>
          <t>/</t>
        </is>
      </c>
      <c r="D3" s="30" t="inlineStr">
        <is>
          <t>/</t>
        </is>
      </c>
      <c r="E3" s="30" t="inlineStr">
        <is>
          <t>/</t>
        </is>
      </c>
      <c r="F3" s="70" t="n">
        <v>0</v>
      </c>
      <c r="G3" s="70" t="n">
        <v>1500</v>
      </c>
      <c r="H3" s="70" t="n">
        <v>37480.04</v>
      </c>
    </row>
    <row r="4">
      <c r="A4" s="69" t="n">
        <v>46266</v>
      </c>
      <c r="B4" s="30" t="inlineStr">
        <is>
          <t>RPP INWARD INST TRF</t>
        </is>
      </c>
      <c r="C4" s="30" t="inlineStr">
        <is>
          <t>AMPERA RAYA GLOBAL S /</t>
        </is>
      </c>
      <c r="D4" s="30" t="inlineStr">
        <is>
          <t>/KLTS Ampera</t>
        </is>
      </c>
      <c r="E4" s="30" t="inlineStr">
        <is>
          <t>/KLTS Gr Sewa Sep26</t>
        </is>
      </c>
      <c r="F4" s="70" t="n">
        <v>0</v>
      </c>
      <c r="G4" s="70" t="n">
        <v>8600</v>
      </c>
      <c r="H4" s="70" t="n">
        <v>46080.04</v>
      </c>
    </row>
    <row r="5">
      <c r="A5" s="69" t="n">
        <v>46266</v>
      </c>
      <c r="B5" s="30" t="inlineStr">
        <is>
          <t>REFLEX SERVICE TAX D</t>
        </is>
      </c>
      <c r="C5" s="30" t="inlineStr">
        <is>
          <t>/</t>
        </is>
      </c>
      <c r="D5" s="30" t="inlineStr">
        <is>
          <t>/</t>
        </is>
      </c>
      <c r="E5" s="30" t="inlineStr">
        <is>
          <t>M01/</t>
        </is>
      </c>
      <c r="F5" s="70" t="n">
        <v>4</v>
      </c>
      <c r="G5" s="70" t="n">
        <v>0</v>
      </c>
      <c r="H5" s="70" t="n">
        <v>46076.04</v>
      </c>
    </row>
    <row r="6">
      <c r="A6" s="69" t="n">
        <v>46266</v>
      </c>
      <c r="B6" s="30" t="inlineStr">
        <is>
          <t>REFLEX-SUBSCRIP CHAR</t>
        </is>
      </c>
      <c r="C6" s="30" t="inlineStr">
        <is>
          <t>/</t>
        </is>
      </c>
      <c r="D6" s="30" t="inlineStr">
        <is>
          <t>/</t>
        </is>
      </c>
      <c r="E6" s="30" t="inlineStr">
        <is>
          <t>M01/</t>
        </is>
      </c>
      <c r="F6" s="70" t="n">
        <v>50</v>
      </c>
      <c r="G6" s="70" t="n">
        <v>0</v>
      </c>
      <c r="H6" s="70" t="n">
        <v>46026.04</v>
      </c>
    </row>
    <row r="7">
      <c r="A7" s="69" t="n">
        <v>46267</v>
      </c>
      <c r="B7" s="30" t="inlineStr">
        <is>
          <t>CDT CASH DEPOSIT</t>
        </is>
      </c>
      <c r="C7" s="30" t="inlineStr">
        <is>
          <t>/</t>
        </is>
      </c>
      <c r="D7" s="30" t="inlineStr">
        <is>
          <t>/</t>
        </is>
      </c>
      <c r="E7" s="30" t="inlineStr">
        <is>
          <t>/</t>
        </is>
      </c>
      <c r="F7" s="70" t="n">
        <v>0</v>
      </c>
      <c r="G7" s="70" t="n">
        <v>1580</v>
      </c>
      <c r="H7" s="70" t="n">
        <v>47606.04</v>
      </c>
    </row>
    <row r="8">
      <c r="A8" s="69" t="n">
        <v>46268</v>
      </c>
      <c r="B8" s="30" t="inlineStr">
        <is>
          <t>CDT CASH DEPOSIT</t>
        </is>
      </c>
      <c r="C8" s="30" t="inlineStr">
        <is>
          <t>/</t>
        </is>
      </c>
      <c r="D8" s="30" t="inlineStr">
        <is>
          <t>/</t>
        </is>
      </c>
      <c r="E8" s="30" t="inlineStr">
        <is>
          <t>/</t>
        </is>
      </c>
      <c r="F8" s="70" t="n">
        <v>0</v>
      </c>
      <c r="G8" s="70" t="n">
        <v>1920</v>
      </c>
      <c r="H8" s="70" t="n">
        <v>49526.04</v>
      </c>
    </row>
    <row r="9">
      <c r="A9" s="69" t="n">
        <v>46269</v>
      </c>
      <c r="B9" s="30" t="inlineStr">
        <is>
          <t>CDT CASH DEPOSIT</t>
        </is>
      </c>
      <c r="C9" s="30" t="inlineStr">
        <is>
          <t>/</t>
        </is>
      </c>
      <c r="D9" s="30" t="inlineStr">
        <is>
          <t>/</t>
        </is>
      </c>
      <c r="E9" s="30" t="inlineStr">
        <is>
          <t>/</t>
        </is>
      </c>
      <c r="F9" s="70" t="n">
        <v>0</v>
      </c>
      <c r="G9" s="70" t="n">
        <v>50</v>
      </c>
      <c r="H9" s="70" t="n">
        <v>49576.04</v>
      </c>
    </row>
    <row r="10">
      <c r="A10" s="69" t="n">
        <v>46269</v>
      </c>
      <c r="B10" s="30" t="inlineStr">
        <is>
          <t>CDT CASH DEPOSIT</t>
        </is>
      </c>
      <c r="C10" s="30" t="inlineStr">
        <is>
          <t>/</t>
        </is>
      </c>
      <c r="D10" s="30" t="inlineStr">
        <is>
          <t>/</t>
        </is>
      </c>
      <c r="E10" s="30" t="inlineStr">
        <is>
          <t>/</t>
        </is>
      </c>
      <c r="F10" s="70" t="n">
        <v>0</v>
      </c>
      <c r="G10" s="70" t="n">
        <v>350</v>
      </c>
      <c r="H10" s="70" t="n">
        <v>49926.04</v>
      </c>
    </row>
    <row r="11">
      <c r="A11" s="69" t="n">
        <v>46270</v>
      </c>
      <c r="B11" s="30" t="inlineStr">
        <is>
          <t>CDT CASH DEPOSIT</t>
        </is>
      </c>
      <c r="C11" s="30" t="inlineStr">
        <is>
          <t>/</t>
        </is>
      </c>
      <c r="D11" s="30" t="inlineStr">
        <is>
          <t>/</t>
        </is>
      </c>
      <c r="E11" s="30" t="inlineStr">
        <is>
          <t>/</t>
        </is>
      </c>
      <c r="F11" s="70" t="n">
        <v>0</v>
      </c>
      <c r="G11" s="70" t="n">
        <v>1180</v>
      </c>
      <c r="H11" s="70" t="n">
        <v>51106.04</v>
      </c>
    </row>
    <row r="12">
      <c r="A12" s="69" t="n">
        <v>46270</v>
      </c>
      <c r="B12" s="30" t="inlineStr">
        <is>
          <t>CDT CASH DEPOSIT</t>
        </is>
      </c>
      <c r="C12" s="30" t="inlineStr">
        <is>
          <t>/</t>
        </is>
      </c>
      <c r="D12" s="30" t="inlineStr">
        <is>
          <t>/</t>
        </is>
      </c>
      <c r="E12" s="30" t="inlineStr">
        <is>
          <t>/</t>
        </is>
      </c>
      <c r="F12" s="70" t="n">
        <v>0</v>
      </c>
      <c r="G12" s="70" t="n">
        <v>1970</v>
      </c>
      <c r="H12" s="70" t="n">
        <v>53076.04</v>
      </c>
    </row>
    <row r="13">
      <c r="A13" s="69" t="n">
        <v>46271</v>
      </c>
      <c r="B13" s="30" t="inlineStr">
        <is>
          <t>CDT CASH DEPOSIT</t>
        </is>
      </c>
      <c r="C13" s="30" t="inlineStr">
        <is>
          <t>/</t>
        </is>
      </c>
      <c r="D13" s="30" t="inlineStr">
        <is>
          <t>/</t>
        </is>
      </c>
      <c r="E13" s="30" t="inlineStr">
        <is>
          <t>/</t>
        </is>
      </c>
      <c r="F13" s="70" t="n">
        <v>0</v>
      </c>
      <c r="G13" s="70" t="n">
        <v>1420</v>
      </c>
      <c r="H13" s="70" t="n">
        <v>54496.04</v>
      </c>
    </row>
    <row r="14">
      <c r="A14" s="69" t="n">
        <v>46272</v>
      </c>
      <c r="B14" s="30" t="inlineStr">
        <is>
          <t>CDT CASH DEPOSIT</t>
        </is>
      </c>
      <c r="C14" s="30" t="inlineStr">
        <is>
          <t>/</t>
        </is>
      </c>
      <c r="D14" s="30" t="inlineStr">
        <is>
          <t>/</t>
        </is>
      </c>
      <c r="E14" s="30" t="inlineStr">
        <is>
          <t>/</t>
        </is>
      </c>
      <c r="F14" s="70" t="n">
        <v>0</v>
      </c>
      <c r="G14" s="70" t="n">
        <v>20</v>
      </c>
      <c r="H14" s="70" t="n">
        <v>54516.04</v>
      </c>
    </row>
    <row r="15">
      <c r="A15" s="69" t="n">
        <v>46272</v>
      </c>
      <c r="B15" s="30" t="inlineStr">
        <is>
          <t>CDT CASH DEPOSIT</t>
        </is>
      </c>
      <c r="C15" s="30" t="inlineStr">
        <is>
          <t>/</t>
        </is>
      </c>
      <c r="D15" s="30" t="inlineStr">
        <is>
          <t>/</t>
        </is>
      </c>
      <c r="E15" s="30" t="inlineStr">
        <is>
          <t>/</t>
        </is>
      </c>
      <c r="F15" s="70" t="n">
        <v>0</v>
      </c>
      <c r="G15" s="70" t="n">
        <v>2380</v>
      </c>
      <c r="H15" s="70" t="n">
        <v>56896.04</v>
      </c>
    </row>
    <row r="16">
      <c r="A16" s="69" t="n">
        <v>46273</v>
      </c>
      <c r="B16" s="30" t="inlineStr">
        <is>
          <t>CDT CASH DEPOSIT</t>
        </is>
      </c>
      <c r="C16" s="30" t="inlineStr">
        <is>
          <t>/</t>
        </is>
      </c>
      <c r="D16" s="30" t="inlineStr">
        <is>
          <t>/</t>
        </is>
      </c>
      <c r="E16" s="30" t="inlineStr">
        <is>
          <t>/</t>
        </is>
      </c>
      <c r="F16" s="70" t="n">
        <v>0</v>
      </c>
      <c r="G16" s="70" t="n">
        <v>1840</v>
      </c>
      <c r="H16" s="70" t="n">
        <v>58736.04</v>
      </c>
    </row>
    <row r="17">
      <c r="A17" s="69" t="n">
        <v>46275</v>
      </c>
      <c r="B17" s="30" t="inlineStr">
        <is>
          <t>CDT CASH DEPOSIT</t>
        </is>
      </c>
      <c r="C17" s="30" t="inlineStr">
        <is>
          <t>/</t>
        </is>
      </c>
      <c r="D17" s="30" t="inlineStr">
        <is>
          <t>/</t>
        </is>
      </c>
      <c r="E17" s="30" t="inlineStr">
        <is>
          <t>/</t>
        </is>
      </c>
      <c r="F17" s="70" t="n">
        <v>0</v>
      </c>
      <c r="G17" s="70" t="n">
        <v>10</v>
      </c>
      <c r="H17" s="70" t="n">
        <v>58746.04</v>
      </c>
    </row>
    <row r="18">
      <c r="A18" s="69" t="n">
        <v>46275</v>
      </c>
      <c r="B18" s="30" t="inlineStr">
        <is>
          <t>CDT CASH DEPOSIT</t>
        </is>
      </c>
      <c r="C18" s="30" t="inlineStr">
        <is>
          <t>/</t>
        </is>
      </c>
      <c r="D18" s="30" t="inlineStr">
        <is>
          <t>/</t>
        </is>
      </c>
      <c r="E18" s="30" t="inlineStr">
        <is>
          <t>/</t>
        </is>
      </c>
      <c r="F18" s="70" t="n">
        <v>0</v>
      </c>
      <c r="G18" s="70" t="n">
        <v>1700</v>
      </c>
      <c r="H18" s="70" t="n">
        <v>60446.04</v>
      </c>
    </row>
    <row r="19">
      <c r="A19" s="69" t="n">
        <v>46275</v>
      </c>
      <c r="B19" s="30" t="inlineStr">
        <is>
          <t>CDT CASH DEPOSIT</t>
        </is>
      </c>
      <c r="C19" s="30" t="inlineStr">
        <is>
          <t>/</t>
        </is>
      </c>
      <c r="D19" s="30" t="inlineStr">
        <is>
          <t>/</t>
        </is>
      </c>
      <c r="E19" s="30" t="inlineStr">
        <is>
          <t>/</t>
        </is>
      </c>
      <c r="F19" s="70" t="n">
        <v>0</v>
      </c>
      <c r="G19" s="70" t="n">
        <v>1750</v>
      </c>
      <c r="H19" s="70" t="n">
        <v>62196.04</v>
      </c>
    </row>
    <row r="20">
      <c r="A20" s="69" t="n">
        <v>46277</v>
      </c>
      <c r="B20" s="30" t="inlineStr">
        <is>
          <t>CDT CASH DEPOSIT</t>
        </is>
      </c>
      <c r="C20" s="30" t="inlineStr">
        <is>
          <t>/</t>
        </is>
      </c>
      <c r="D20" s="30" t="inlineStr">
        <is>
          <t>/</t>
        </is>
      </c>
      <c r="E20" s="30" t="inlineStr">
        <is>
          <t>/</t>
        </is>
      </c>
      <c r="F20" s="70" t="n">
        <v>0</v>
      </c>
      <c r="G20" s="70" t="n">
        <v>1580</v>
      </c>
      <c r="H20" s="70" t="n">
        <v>63776.04</v>
      </c>
    </row>
    <row r="21">
      <c r="A21" s="69" t="n">
        <v>46277</v>
      </c>
      <c r="B21" s="30" t="inlineStr">
        <is>
          <t>CDT CASH DEPOSIT</t>
        </is>
      </c>
      <c r="C21" s="30" t="inlineStr">
        <is>
          <t>/</t>
        </is>
      </c>
      <c r="D21" s="30" t="inlineStr">
        <is>
          <t>/</t>
        </is>
      </c>
      <c r="E21" s="30" t="inlineStr">
        <is>
          <t>/</t>
        </is>
      </c>
      <c r="F21" s="70" t="n">
        <v>0</v>
      </c>
      <c r="G21" s="70" t="n">
        <v>2590</v>
      </c>
      <c r="H21" s="70" t="n">
        <v>66366.03999999999</v>
      </c>
    </row>
    <row r="22">
      <c r="A22" s="69" t="n">
        <v>46278</v>
      </c>
      <c r="B22" s="30" t="inlineStr">
        <is>
          <t>CDT CASH DEPOSIT</t>
        </is>
      </c>
      <c r="C22" s="30" t="inlineStr">
        <is>
          <t>/</t>
        </is>
      </c>
      <c r="D22" s="30" t="inlineStr">
        <is>
          <t>/</t>
        </is>
      </c>
      <c r="E22" s="30" t="inlineStr">
        <is>
          <t>/</t>
        </is>
      </c>
      <c r="F22" s="70" t="n">
        <v>0</v>
      </c>
      <c r="G22" s="70" t="n">
        <v>2220</v>
      </c>
      <c r="H22" s="70" t="n">
        <v>68586.03999999999</v>
      </c>
    </row>
    <row r="23">
      <c r="A23" s="69" t="n">
        <v>46280</v>
      </c>
      <c r="B23" s="30" t="inlineStr">
        <is>
          <t>CDT CASH DEPOSIT</t>
        </is>
      </c>
      <c r="C23" s="30" t="inlineStr">
        <is>
          <t>/</t>
        </is>
      </c>
      <c r="D23" s="30" t="inlineStr">
        <is>
          <t>/</t>
        </is>
      </c>
      <c r="E23" s="30" t="inlineStr">
        <is>
          <t>/</t>
        </is>
      </c>
      <c r="F23" s="70" t="n">
        <v>0</v>
      </c>
      <c r="G23" s="70" t="n">
        <v>10</v>
      </c>
      <c r="H23" s="70" t="n">
        <v>68596.03999999999</v>
      </c>
    </row>
    <row r="24">
      <c r="A24" s="69" t="n">
        <v>46280</v>
      </c>
      <c r="B24" s="30" t="inlineStr">
        <is>
          <t>CDT CASH DEPOSIT</t>
        </is>
      </c>
      <c r="C24" s="30" t="inlineStr">
        <is>
          <t>/</t>
        </is>
      </c>
      <c r="D24" s="30" t="inlineStr">
        <is>
          <t>/</t>
        </is>
      </c>
      <c r="E24" s="30" t="inlineStr">
        <is>
          <t>/</t>
        </is>
      </c>
      <c r="F24" s="70" t="n">
        <v>0</v>
      </c>
      <c r="G24" s="70" t="n">
        <v>1280</v>
      </c>
      <c r="H24" s="70" t="n">
        <v>69876.03999999999</v>
      </c>
    </row>
    <row r="25">
      <c r="A25" s="69" t="n">
        <v>46281</v>
      </c>
      <c r="B25" s="30" t="inlineStr">
        <is>
          <t>CDT CASH DEPOSIT</t>
        </is>
      </c>
      <c r="C25" s="30" t="inlineStr">
        <is>
          <t>/</t>
        </is>
      </c>
      <c r="D25" s="30" t="inlineStr">
        <is>
          <t>/</t>
        </is>
      </c>
      <c r="E25" s="30" t="inlineStr">
        <is>
          <t>/</t>
        </is>
      </c>
      <c r="F25" s="70" t="n">
        <v>0</v>
      </c>
      <c r="G25" s="70" t="n">
        <v>120</v>
      </c>
      <c r="H25" s="70" t="n">
        <v>69996.03999999999</v>
      </c>
    </row>
    <row r="26">
      <c r="A26" s="69" t="n">
        <v>46281</v>
      </c>
      <c r="B26" s="30" t="inlineStr">
        <is>
          <t>CDT CASH DEPOSIT</t>
        </is>
      </c>
      <c r="C26" s="30" t="inlineStr">
        <is>
          <t>/</t>
        </is>
      </c>
      <c r="D26" s="30" t="inlineStr">
        <is>
          <t>/</t>
        </is>
      </c>
      <c r="E26" s="30" t="inlineStr">
        <is>
          <t>/</t>
        </is>
      </c>
      <c r="F26" s="70" t="n">
        <v>0</v>
      </c>
      <c r="G26" s="70" t="n">
        <v>1030</v>
      </c>
      <c r="H26" s="70" t="n">
        <v>71026.03999999999</v>
      </c>
    </row>
    <row r="27">
      <c r="A27" s="69" t="n">
        <v>46281</v>
      </c>
      <c r="B27" s="30" t="inlineStr">
        <is>
          <t>CDT CASH DEPOSIT</t>
        </is>
      </c>
      <c r="C27" s="30" t="inlineStr">
        <is>
          <t>/</t>
        </is>
      </c>
      <c r="D27" s="30" t="inlineStr">
        <is>
          <t>/</t>
        </is>
      </c>
      <c r="E27" s="30" t="inlineStr">
        <is>
          <t>/</t>
        </is>
      </c>
      <c r="F27" s="70" t="n">
        <v>0</v>
      </c>
      <c r="G27" s="70" t="n">
        <v>1520</v>
      </c>
      <c r="H27" s="70" t="n">
        <v>72546.03999999999</v>
      </c>
    </row>
    <row r="28">
      <c r="A28" s="69" t="n">
        <v>46283</v>
      </c>
      <c r="B28" s="30" t="inlineStr">
        <is>
          <t>CDT CASH DEPOSIT</t>
        </is>
      </c>
      <c r="C28" s="30" t="inlineStr">
        <is>
          <t>/</t>
        </is>
      </c>
      <c r="D28" s="30" t="inlineStr">
        <is>
          <t>/</t>
        </is>
      </c>
      <c r="E28" s="30" t="inlineStr">
        <is>
          <t>/</t>
        </is>
      </c>
      <c r="F28" s="70" t="n">
        <v>0</v>
      </c>
      <c r="G28" s="70" t="n">
        <v>1530</v>
      </c>
      <c r="H28" s="70" t="n">
        <v>74076.03999999999</v>
      </c>
    </row>
    <row r="29">
      <c r="A29" s="69" t="n">
        <v>46284</v>
      </c>
      <c r="B29" s="30" t="inlineStr">
        <is>
          <t>CDT CASH DEPOSIT</t>
        </is>
      </c>
      <c r="C29" s="30" t="inlineStr">
        <is>
          <t>/</t>
        </is>
      </c>
      <c r="D29" s="30" t="inlineStr">
        <is>
          <t>/</t>
        </is>
      </c>
      <c r="E29" s="30" t="inlineStr">
        <is>
          <t>/</t>
        </is>
      </c>
      <c r="F29" s="70" t="n">
        <v>0</v>
      </c>
      <c r="G29" s="70" t="n">
        <v>1640</v>
      </c>
      <c r="H29" s="70" t="n">
        <v>75716.03999999999</v>
      </c>
    </row>
    <row r="30">
      <c r="A30" s="69" t="n">
        <v>46284</v>
      </c>
      <c r="B30" s="30" t="inlineStr">
        <is>
          <t>CDT CASH DEPOSIT</t>
        </is>
      </c>
      <c r="C30" s="30" t="inlineStr">
        <is>
          <t>/</t>
        </is>
      </c>
      <c r="D30" s="30" t="inlineStr">
        <is>
          <t>/</t>
        </is>
      </c>
      <c r="E30" s="30" t="inlineStr">
        <is>
          <t>/</t>
        </is>
      </c>
      <c r="F30" s="70" t="n">
        <v>0</v>
      </c>
      <c r="G30" s="70" t="n">
        <v>2620</v>
      </c>
      <c r="H30" s="70" t="n">
        <v>78336.03999999999</v>
      </c>
    </row>
    <row r="31">
      <c r="A31" s="69" t="n">
        <v>46285</v>
      </c>
      <c r="B31" s="30" t="inlineStr">
        <is>
          <t>CDT CASH DEPOSIT</t>
        </is>
      </c>
      <c r="C31" s="30" t="inlineStr">
        <is>
          <t>/</t>
        </is>
      </c>
      <c r="D31" s="30" t="inlineStr">
        <is>
          <t>/</t>
        </is>
      </c>
      <c r="E31" s="30" t="inlineStr">
        <is>
          <t>/</t>
        </is>
      </c>
      <c r="F31" s="70" t="n">
        <v>0</v>
      </c>
      <c r="G31" s="70" t="n">
        <v>940</v>
      </c>
      <c r="H31" s="70" t="n">
        <v>79276.03999999999</v>
      </c>
    </row>
    <row r="32">
      <c r="A32" s="69" t="n">
        <v>46287</v>
      </c>
      <c r="B32" s="30" t="inlineStr">
        <is>
          <t>CDT CASH DEPOSIT</t>
        </is>
      </c>
      <c r="C32" s="30" t="inlineStr">
        <is>
          <t>/</t>
        </is>
      </c>
      <c r="D32" s="30" t="inlineStr">
        <is>
          <t>/</t>
        </is>
      </c>
      <c r="E32" s="30" t="inlineStr">
        <is>
          <t>/</t>
        </is>
      </c>
      <c r="F32" s="70" t="n">
        <v>0</v>
      </c>
      <c r="G32" s="70" t="n">
        <v>1630</v>
      </c>
      <c r="H32" s="70" t="n">
        <v>80906.03999999999</v>
      </c>
    </row>
    <row r="33">
      <c r="A33" s="69" t="n">
        <v>46287</v>
      </c>
      <c r="B33" s="30" t="inlineStr">
        <is>
          <t>CASH DEPOSIT</t>
        </is>
      </c>
      <c r="C33" s="30" t="inlineStr">
        <is>
          <t>/</t>
        </is>
      </c>
      <c r="D33" s="30" t="inlineStr">
        <is>
          <t>/</t>
        </is>
      </c>
      <c r="E33" s="30" t="inlineStr">
        <is>
          <t>/</t>
        </is>
      </c>
      <c r="F33" s="70" t="n">
        <v>0</v>
      </c>
      <c r="G33" s="70" t="n">
        <v>2490</v>
      </c>
      <c r="H33" s="70" t="n">
        <v>83396.03999999999</v>
      </c>
    </row>
    <row r="34">
      <c r="A34" s="69" t="n">
        <v>46288</v>
      </c>
      <c r="B34" s="30" t="inlineStr">
        <is>
          <t>RPP INWARD INST TRF</t>
        </is>
      </c>
      <c r="C34" s="30" t="inlineStr">
        <is>
          <t>DAE GUK M SDN. BHD. /</t>
        </is>
      </c>
      <c r="D34" s="30" t="inlineStr">
        <is>
          <t>/LICENSING PJ</t>
        </is>
      </c>
      <c r="E34" s="30" t="inlineStr">
        <is>
          <t>/PV2609-167</t>
        </is>
      </c>
      <c r="F34" s="70" t="n">
        <v>0</v>
      </c>
      <c r="G34" s="70" t="n">
        <v>200000</v>
      </c>
      <c r="H34" s="70" t="n">
        <v>283396.04</v>
      </c>
    </row>
    <row r="35">
      <c r="A35" s="69" t="n">
        <v>46289</v>
      </c>
      <c r="B35" s="30" t="inlineStr">
        <is>
          <t>CASH DEPOSIT</t>
        </is>
      </c>
      <c r="C35" s="30" t="inlineStr">
        <is>
          <t>/</t>
        </is>
      </c>
      <c r="D35" s="30" t="inlineStr">
        <is>
          <t>/</t>
        </is>
      </c>
      <c r="E35" s="30" t="inlineStr">
        <is>
          <t>/</t>
        </is>
      </c>
      <c r="F35" s="70" t="n">
        <v>0</v>
      </c>
      <c r="G35" s="70" t="n">
        <v>1470</v>
      </c>
      <c r="H35" s="70" t="n">
        <v>284866.04</v>
      </c>
    </row>
    <row r="36">
      <c r="A36" s="69" t="n">
        <v>46289</v>
      </c>
      <c r="B36" s="30" t="inlineStr">
        <is>
          <t>CDT CASH DEPOSIT</t>
        </is>
      </c>
      <c r="C36" s="30" t="inlineStr">
        <is>
          <t>/</t>
        </is>
      </c>
      <c r="D36" s="30" t="inlineStr">
        <is>
          <t>/</t>
        </is>
      </c>
      <c r="E36" s="30" t="inlineStr">
        <is>
          <t>/</t>
        </is>
      </c>
      <c r="F36" s="70" t="n">
        <v>0</v>
      </c>
      <c r="G36" s="70" t="n">
        <v>1500</v>
      </c>
      <c r="H36" s="70" t="n">
        <v>286366.04</v>
      </c>
    </row>
    <row r="37">
      <c r="A37" s="69" t="n">
        <v>46290</v>
      </c>
      <c r="B37" s="30" t="inlineStr">
        <is>
          <t>RPP INWARD DUITNOW C</t>
        </is>
      </c>
      <c r="C37" s="30" t="inlineStr">
        <is>
          <t>SYARIKAT TAKAFUL MAL /</t>
        </is>
      </c>
      <c r="D37" s="30" t="inlineStr">
        <is>
          <t>/P4904768</t>
        </is>
      </c>
      <c r="E37" s="30" t="inlineStr">
        <is>
          <t>/Cash Back Payout</t>
        </is>
      </c>
      <c r="F37" s="70" t="n">
        <v>0</v>
      </c>
      <c r="G37" s="70" t="n">
        <v>228.15</v>
      </c>
      <c r="H37" s="70" t="n">
        <v>286594.19</v>
      </c>
    </row>
    <row r="38">
      <c r="A38" s="69" t="n">
        <v>46290</v>
      </c>
      <c r="B38" s="30" t="inlineStr">
        <is>
          <t>CDT CASH DEPOSIT</t>
        </is>
      </c>
      <c r="C38" s="30" t="inlineStr">
        <is>
          <t>/</t>
        </is>
      </c>
      <c r="D38" s="30" t="inlineStr">
        <is>
          <t>/</t>
        </is>
      </c>
      <c r="E38" s="30" t="inlineStr">
        <is>
          <t>/</t>
        </is>
      </c>
      <c r="F38" s="70" t="n">
        <v>0</v>
      </c>
      <c r="G38" s="70" t="n">
        <v>1720</v>
      </c>
      <c r="H38" s="70" t="n">
        <v>288314.19</v>
      </c>
    </row>
    <row r="39">
      <c r="A39" s="69" t="n">
        <v>46290</v>
      </c>
      <c r="B39" s="30" t="inlineStr">
        <is>
          <t>RPP INWARD INST TRF</t>
        </is>
      </c>
      <c r="C39" s="30" t="inlineStr">
        <is>
          <t>TOP GLOBAL FOOD AND  /</t>
        </is>
      </c>
      <c r="D39" s="30" t="inlineStr">
        <is>
          <t>/MYCN2609259517721</t>
        </is>
      </c>
      <c r="E39" s="30" t="inlineStr">
        <is>
          <t>/DuitNow (Transfer)</t>
        </is>
      </c>
      <c r="F39" s="70" t="n">
        <v>0</v>
      </c>
      <c r="G39" s="70" t="n">
        <v>160000</v>
      </c>
      <c r="H39" s="70" t="n">
        <v>448314.19</v>
      </c>
    </row>
    <row r="40">
      <c r="A40" s="69" t="n">
        <v>46290</v>
      </c>
      <c r="B40" s="30" t="inlineStr">
        <is>
          <t>REFLEX-BULK IBG CHGS</t>
        </is>
      </c>
      <c r="C40" s="30" t="inlineStr">
        <is>
          <t>/</t>
        </is>
      </c>
      <c r="D40" s="30" t="inlineStr">
        <is>
          <t>/</t>
        </is>
      </c>
      <c r="E40" s="30" t="inlineStr">
        <is>
          <t>/</t>
        </is>
      </c>
      <c r="F40" s="70" t="n">
        <v>0.5</v>
      </c>
      <c r="G40" s="70" t="n">
        <v>0</v>
      </c>
      <c r="H40" s="70" t="n">
        <v>448313.69</v>
      </c>
    </row>
    <row r="41">
      <c r="A41" s="69" t="n">
        <v>46290</v>
      </c>
      <c r="B41" s="30" t="inlineStr">
        <is>
          <t>REFLEX-BULK IBG CHGS</t>
        </is>
      </c>
      <c r="C41" s="30" t="inlineStr">
        <is>
          <t>/</t>
        </is>
      </c>
      <c r="D41" s="30" t="inlineStr">
        <is>
          <t>/</t>
        </is>
      </c>
      <c r="E41" s="30" t="inlineStr">
        <is>
          <t>/</t>
        </is>
      </c>
      <c r="F41" s="70" t="n">
        <v>4.3</v>
      </c>
      <c r="G41" s="70" t="n">
        <v>0</v>
      </c>
      <c r="H41" s="70" t="n">
        <v>448309.39</v>
      </c>
    </row>
    <row r="42">
      <c r="A42" s="69" t="n">
        <v>46290</v>
      </c>
      <c r="B42" s="30" t="inlineStr">
        <is>
          <t>REFLEX-PAYROLL PYMT</t>
        </is>
      </c>
      <c r="C42" s="30" t="inlineStr">
        <is>
          <t>/ 260924630082</t>
        </is>
      </c>
      <c r="D42" s="30" t="inlineStr">
        <is>
          <t>260924630082/</t>
        </is>
      </c>
      <c r="E42" s="30" t="inlineStr">
        <is>
          <t>/5</t>
        </is>
      </c>
      <c r="F42" s="70" t="n">
        <v>173891.75</v>
      </c>
      <c r="G42" s="70" t="n">
        <v>0</v>
      </c>
      <c r="H42" s="70" t="n">
        <v>274417.64</v>
      </c>
    </row>
    <row r="43">
      <c r="A43" s="69" t="n">
        <v>46290</v>
      </c>
      <c r="B43" s="30" t="inlineStr">
        <is>
          <t>REFLEX-PAYROLL PYMT</t>
        </is>
      </c>
      <c r="C43" s="30" t="inlineStr">
        <is>
          <t>/ 260924629184</t>
        </is>
      </c>
      <c r="D43" s="30" t="inlineStr">
        <is>
          <t>260924629184/</t>
        </is>
      </c>
      <c r="E43" s="30" t="inlineStr">
        <is>
          <t>/69</t>
        </is>
      </c>
      <c r="F43" s="70" t="n">
        <v>266036.67</v>
      </c>
      <c r="G43" s="70" t="n">
        <v>0</v>
      </c>
      <c r="H43" s="70" t="n">
        <v>8380.969999999999</v>
      </c>
    </row>
    <row r="44">
      <c r="A44" s="69" t="n">
        <v>46292</v>
      </c>
      <c r="B44" s="30" t="inlineStr">
        <is>
          <t>CASH DEPOSIT</t>
        </is>
      </c>
      <c r="C44" s="30" t="inlineStr">
        <is>
          <t>/</t>
        </is>
      </c>
      <c r="D44" s="30" t="inlineStr">
        <is>
          <t>/</t>
        </is>
      </c>
      <c r="E44" s="30" t="inlineStr">
        <is>
          <t>/</t>
        </is>
      </c>
      <c r="F44" s="70" t="n">
        <v>0</v>
      </c>
      <c r="G44" s="70" t="n">
        <v>2600</v>
      </c>
      <c r="H44" s="70" t="n">
        <v>10980.97</v>
      </c>
    </row>
    <row r="45">
      <c r="A45" s="69" t="n">
        <v>46293</v>
      </c>
      <c r="B45" s="30" t="inlineStr">
        <is>
          <t>CDT CASH DEPOSIT</t>
        </is>
      </c>
      <c r="C45" s="30" t="inlineStr">
        <is>
          <t>/</t>
        </is>
      </c>
      <c r="D45" s="30" t="inlineStr">
        <is>
          <t>/</t>
        </is>
      </c>
      <c r="E45" s="30" t="inlineStr">
        <is>
          <t>/</t>
        </is>
      </c>
      <c r="F45" s="70" t="n">
        <v>0</v>
      </c>
      <c r="G45" s="70" t="n">
        <v>10</v>
      </c>
      <c r="H45" s="70" t="n">
        <v>10990.97</v>
      </c>
    </row>
    <row r="46">
      <c r="A46" s="69" t="n">
        <v>46293</v>
      </c>
      <c r="B46" s="30" t="inlineStr">
        <is>
          <t>CDT CASH DEPOSIT</t>
        </is>
      </c>
      <c r="C46" s="30" t="inlineStr">
        <is>
          <t>/</t>
        </is>
      </c>
      <c r="D46" s="30" t="inlineStr">
        <is>
          <t>/</t>
        </is>
      </c>
      <c r="E46" s="30" t="inlineStr">
        <is>
          <t>/</t>
        </is>
      </c>
      <c r="F46" s="70" t="n">
        <v>0</v>
      </c>
      <c r="G46" s="70" t="n">
        <v>1620</v>
      </c>
      <c r="H46" s="70" t="n">
        <v>12610.97</v>
      </c>
    </row>
    <row r="47">
      <c r="A47" s="69" t="n">
        <v>46293</v>
      </c>
      <c r="B47" s="30" t="inlineStr">
        <is>
          <t>CDT CASH DEPOSIT</t>
        </is>
      </c>
      <c r="C47" s="30" t="inlineStr">
        <is>
          <t>/</t>
        </is>
      </c>
      <c r="D47" s="30" t="inlineStr">
        <is>
          <t>/</t>
        </is>
      </c>
      <c r="E47" s="30" t="inlineStr">
        <is>
          <t>/</t>
        </is>
      </c>
      <c r="F47" s="70" t="n">
        <v>0</v>
      </c>
      <c r="G47" s="70" t="n">
        <v>1830</v>
      </c>
      <c r="H47" s="70" t="n">
        <v>14440.97</v>
      </c>
    </row>
    <row r="48">
      <c r="A48" s="69" t="n">
        <v>46293</v>
      </c>
      <c r="B48" s="30" t="inlineStr">
        <is>
          <t>RFLX-BULK PYMT REJ C</t>
        </is>
      </c>
      <c r="C48" s="30" t="inlineStr">
        <is>
          <t>/</t>
        </is>
      </c>
      <c r="D48" s="30" t="inlineStr">
        <is>
          <t>Payment Not Successf/SALARY SEPT</t>
        </is>
      </c>
      <c r="E48" s="30" t="inlineStr">
        <is>
          <t>XXXXXXXX1836/R22-INVALID INDV ID</t>
        </is>
      </c>
      <c r="F48" s="70" t="n">
        <v>0</v>
      </c>
      <c r="G48" s="70" t="n">
        <v>3600</v>
      </c>
      <c r="H48" s="70" t="n">
        <v>18040.97</v>
      </c>
    </row>
    <row r="49">
      <c r="A49" s="69" t="n">
        <v>46293</v>
      </c>
      <c r="B49" s="30" t="inlineStr">
        <is>
          <t>RFLX INSTANT TRF DR</t>
        </is>
      </c>
      <c r="C49" s="30" t="inlineStr">
        <is>
          <t>/ AHMAD HANIF ALBAB</t>
        </is>
      </c>
      <c r="D49" s="30" t="inlineStr">
        <is>
          <t>260928013896/salary sept</t>
        </is>
      </c>
      <c r="E49" s="30" t="inlineStr">
        <is>
          <t>/</t>
        </is>
      </c>
      <c r="F49" s="70" t="n">
        <v>3600</v>
      </c>
      <c r="G49" s="70" t="n">
        <v>0</v>
      </c>
      <c r="H49" s="70" t="n">
        <v>14440.97</v>
      </c>
    </row>
    <row r="51">
      <c r="A51" s="48" t="inlineStr">
        <is>
          <t>FORECAST 29-30 SEP</t>
        </is>
      </c>
      <c r="B51" s="48" t="str"/>
      <c r="C51" s="48" t="str"/>
      <c r="D51" s="48" t="str"/>
      <c r="E51" s="48" t="str"/>
      <c r="F51" s="48" t="str"/>
      <c r="G51" s="48" t="str"/>
      <c r="H51" s="48" t="str"/>
    </row>
    <row r="52">
      <c r="A52" s="74" t="n">
        <v>46294</v>
      </c>
      <c r="B52" t="inlineStr">
        <is>
          <t>Forecast cash deposits</t>
        </is>
      </c>
      <c r="F52" s="71" t="n">
        <v>0</v>
      </c>
      <c r="G52" s="71" t="n">
        <v>1775.714285714286</v>
      </c>
      <c r="H52" s="71">
        <f>H49+G52-F52</f>
        <v/>
      </c>
    </row>
    <row r="53">
      <c r="A53" s="74" t="n">
        <v>46295</v>
      </c>
      <c r="B53" t="inlineStr">
        <is>
          <t>Forecast cash deposits</t>
        </is>
      </c>
      <c r="F53" s="71" t="n">
        <v>0</v>
      </c>
      <c r="G53" s="71" t="n">
        <v>1775.714285714286</v>
      </c>
      <c r="H53" s="71">
        <f>H52+G53-F53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20" customWidth="1" min="4" max="4"/>
    <col width="18" customWidth="1" min="5" max="5"/>
    <col width="22" customWidth="1" min="6" max="6"/>
    <col width="20" customWidth="1" min="7" max="7"/>
    <col width="24" customWidth="1" min="8" max="8"/>
    <col width="48" customWidth="1" min="9" max="9"/>
  </cols>
  <sheetData>
    <row r="1">
      <c r="A1" s="43" t="inlineStr">
        <is>
          <t>No.</t>
        </is>
      </c>
      <c r="B1" s="43" t="inlineStr">
        <is>
          <t>Project</t>
        </is>
      </c>
      <c r="C1" s="43" t="inlineStr">
        <is>
          <t>Grand Opening</t>
        </is>
      </c>
      <c r="D1" s="43" t="inlineStr">
        <is>
          <t>Capex Assumption (RM)</t>
        </is>
      </c>
      <c r="E1" s="43" t="inlineStr">
        <is>
          <t>Project Cash-Out Date</t>
        </is>
      </c>
      <c r="F1" s="43" t="inlineStr">
        <is>
          <t>Daily New Outlet Sales (RM)</t>
        </is>
      </c>
      <c r="G1" s="43" t="inlineStr">
        <is>
          <t>Incremental Sales Sep-26</t>
        </is>
      </c>
      <c r="H1" s="43" t="inlineStr">
        <is>
          <t>Incremental Sales Oct-Dec 2026</t>
        </is>
      </c>
      <c r="I1" s="43" t="inlineStr">
        <is>
          <t>Notes</t>
        </is>
      </c>
    </row>
    <row r="2">
      <c r="A2" s="30" t="n">
        <v>10</v>
      </c>
      <c r="B2" s="30" t="inlineStr">
        <is>
          <t>PASIR GUDANG</t>
        </is>
      </c>
      <c r="C2" s="69" t="n">
        <v>46295</v>
      </c>
      <c r="D2" s="70" t="n">
        <v>650000</v>
      </c>
      <c r="E2" s="70" t="n">
        <v>46265</v>
      </c>
      <c r="F2" s="70" t="n">
        <v>8000</v>
      </c>
      <c r="G2" s="70" t="n">
        <v>8000</v>
      </c>
      <c r="H2" s="70" t="n">
        <v>736000</v>
      </c>
      <c r="I2" s="30" t="inlineStr">
        <is>
          <t>First 3 projects: RM650k capex/outlet; project cash-out date falls before Q4</t>
        </is>
      </c>
    </row>
    <row r="3">
      <c r="A3" s="30" t="n">
        <v>11</v>
      </c>
      <c r="B3" s="30" t="inlineStr">
        <is>
          <t>CHERAS DWITASIK</t>
        </is>
      </c>
      <c r="C3" s="69" t="n">
        <v>46307</v>
      </c>
      <c r="D3" s="70" t="n">
        <v>650000</v>
      </c>
      <c r="E3" s="70" t="n">
        <v>46277</v>
      </c>
      <c r="F3" s="70" t="n">
        <v>8000</v>
      </c>
      <c r="G3" s="70" t="n">
        <v>0</v>
      </c>
      <c r="H3" s="70" t="n">
        <v>648000</v>
      </c>
      <c r="I3" s="30" t="inlineStr">
        <is>
          <t>First 3 projects: RM650k capex/outlet; project cash-out date falls before Q4</t>
        </is>
      </c>
    </row>
    <row r="4">
      <c r="A4" s="30" t="n">
        <v>12</v>
      </c>
      <c r="B4" s="30" t="inlineStr">
        <is>
          <t>PETALING JAYA</t>
        </is>
      </c>
      <c r="C4" s="69" t="n">
        <v>46322</v>
      </c>
      <c r="D4" s="70" t="n">
        <v>650000</v>
      </c>
      <c r="E4" s="70" t="n">
        <v>46292</v>
      </c>
      <c r="F4" s="70" t="n">
        <v>8000</v>
      </c>
      <c r="G4" s="70" t="n">
        <v>0</v>
      </c>
      <c r="H4" s="70" t="n">
        <v>528000</v>
      </c>
      <c r="I4" s="30" t="inlineStr">
        <is>
          <t>First 3 projects: RM650k capex/outlet; project cash-out date falls before Q4</t>
        </is>
      </c>
    </row>
    <row r="5">
      <c r="A5" s="30" t="n">
        <v>13</v>
      </c>
      <c r="B5" s="30" t="inlineStr">
        <is>
          <t>TAIPAN USJ</t>
        </is>
      </c>
      <c r="C5" s="69" t="n">
        <v>46342</v>
      </c>
      <c r="D5" s="70" t="n">
        <v>450000</v>
      </c>
      <c r="E5" s="70" t="n">
        <v>46312</v>
      </c>
      <c r="F5" s="70" t="n">
        <v>8000</v>
      </c>
      <c r="G5" s="70" t="n">
        <v>0</v>
      </c>
      <c r="H5" s="70" t="n">
        <v>368000</v>
      </c>
      <c r="I5" s="30" t="inlineStr">
        <is>
          <t>Subsequent projects: RM450k capex/outlet</t>
        </is>
      </c>
    </row>
    <row r="6">
      <c r="A6" s="30" t="n">
        <v>14</v>
      </c>
      <c r="B6" s="30" t="inlineStr">
        <is>
          <t>BANGSAR</t>
        </is>
      </c>
      <c r="C6" s="69" t="n">
        <v>46344</v>
      </c>
      <c r="D6" s="70" t="n">
        <v>450000</v>
      </c>
      <c r="E6" s="70" t="n">
        <v>46314</v>
      </c>
      <c r="F6" s="70" t="n">
        <v>8000</v>
      </c>
      <c r="G6" s="70" t="n">
        <v>0</v>
      </c>
      <c r="H6" s="70" t="n">
        <v>352000</v>
      </c>
      <c r="I6" s="30" t="inlineStr">
        <is>
          <t>Subsequent projects: RM450k capex/outlet</t>
        </is>
      </c>
    </row>
    <row r="7">
      <c r="A7" s="30" t="n">
        <v>15</v>
      </c>
      <c r="B7" s="30" t="inlineStr">
        <is>
          <t>MACHANG</t>
        </is>
      </c>
      <c r="C7" s="69" t="n">
        <v>46344</v>
      </c>
      <c r="D7" s="70" t="n">
        <v>450000</v>
      </c>
      <c r="E7" s="70" t="n">
        <v>46314</v>
      </c>
      <c r="F7" s="70" t="n">
        <v>8000</v>
      </c>
      <c r="G7" s="70" t="n">
        <v>0</v>
      </c>
      <c r="H7" s="70" t="n">
        <v>352000</v>
      </c>
      <c r="I7" s="30" t="inlineStr">
        <is>
          <t>Subsequent projects: RM450k capex/outlet</t>
        </is>
      </c>
    </row>
    <row r="8">
      <c r="A8" s="30" t="n">
        <v>16</v>
      </c>
      <c r="B8" s="30" t="inlineStr">
        <is>
          <t>ARAU</t>
        </is>
      </c>
      <c r="C8" s="69" t="n">
        <v>46349</v>
      </c>
      <c r="D8" s="70" t="n">
        <v>450000</v>
      </c>
      <c r="E8" s="70" t="n">
        <v>46319</v>
      </c>
      <c r="F8" s="70" t="n">
        <v>8000</v>
      </c>
      <c r="G8" s="70" t="n">
        <v>0</v>
      </c>
      <c r="H8" s="70" t="n">
        <v>312000</v>
      </c>
      <c r="I8" s="30" t="inlineStr">
        <is>
          <t>Subsequent projects: RM450k capex/outlet</t>
        </is>
      </c>
    </row>
    <row r="9">
      <c r="A9" s="30" t="n">
        <v>17</v>
      </c>
      <c r="B9" s="30" t="inlineStr">
        <is>
          <t>PASIR MAS</t>
        </is>
      </c>
      <c r="C9" s="69" t="n">
        <v>46356</v>
      </c>
      <c r="D9" s="70" t="n">
        <v>450000</v>
      </c>
      <c r="E9" s="70" t="n">
        <v>46326</v>
      </c>
      <c r="F9" s="70" t="n">
        <v>8000</v>
      </c>
      <c r="G9" s="70" t="n">
        <v>0</v>
      </c>
      <c r="H9" s="70" t="n">
        <v>256000</v>
      </c>
      <c r="I9" s="30" t="inlineStr">
        <is>
          <t>Subsequent projects: RM450k capex/outlet</t>
        </is>
      </c>
    </row>
    <row r="10">
      <c r="A10" s="30" t="n">
        <v>18</v>
      </c>
      <c r="B10" s="30" t="inlineStr">
        <is>
          <t>KEMAMAN</t>
        </is>
      </c>
      <c r="C10" s="69" t="n">
        <v>46363</v>
      </c>
      <c r="D10" s="70" t="n">
        <v>450000</v>
      </c>
      <c r="E10" s="70" t="n">
        <v>46333</v>
      </c>
      <c r="F10" s="70" t="n">
        <v>8000</v>
      </c>
      <c r="G10" s="70" t="n">
        <v>0</v>
      </c>
      <c r="H10" s="70" t="n">
        <v>200000</v>
      </c>
      <c r="I10" s="30" t="inlineStr">
        <is>
          <t>Subsequent projects: RM450k capex/outlet</t>
        </is>
      </c>
    </row>
    <row r="11">
      <c r="A11" s="30" t="n">
        <v>19</v>
      </c>
      <c r="B11" s="30" t="inlineStr">
        <is>
          <t>CHANGLUN</t>
        </is>
      </c>
      <c r="C11" s="69" t="n">
        <v>46365</v>
      </c>
      <c r="D11" s="70" t="n">
        <v>450000</v>
      </c>
      <c r="E11" s="70" t="n">
        <v>46335</v>
      </c>
      <c r="F11" s="70" t="n">
        <v>8000</v>
      </c>
      <c r="G11" s="70" t="n">
        <v>0</v>
      </c>
      <c r="H11" s="70" t="n">
        <v>184000</v>
      </c>
      <c r="I11" s="30" t="inlineStr">
        <is>
          <t>Subsequent projects: RM450k capex/outlet</t>
        </is>
      </c>
    </row>
    <row r="12">
      <c r="A12" s="30" t="n">
        <v>20</v>
      </c>
      <c r="B12" s="30" t="inlineStr">
        <is>
          <t>MUAR</t>
        </is>
      </c>
      <c r="C12" s="69" t="n">
        <v>46371</v>
      </c>
      <c r="D12" s="70" t="n">
        <v>450000</v>
      </c>
      <c r="E12" s="70" t="n">
        <v>46341</v>
      </c>
      <c r="F12" s="70" t="n">
        <v>8000</v>
      </c>
      <c r="G12" s="70" t="n">
        <v>0</v>
      </c>
      <c r="H12" s="70" t="n">
        <v>136000</v>
      </c>
      <c r="I12" s="30" t="inlineStr">
        <is>
          <t>Subsequent projects: RM450k capex/outlet</t>
        </is>
      </c>
    </row>
    <row r="13">
      <c r="A13" s="30" t="n">
        <v>21</v>
      </c>
      <c r="B13" s="30" t="inlineStr">
        <is>
          <t>ICOMSRWK</t>
        </is>
      </c>
      <c r="C13" s="69" t="inlineStr">
        <is>
          <t>TBD</t>
        </is>
      </c>
      <c r="D13" s="70" t="n">
        <v>450000</v>
      </c>
      <c r="E13" s="70" t="inlineStr">
        <is>
          <t>TBD</t>
        </is>
      </c>
      <c r="F13" s="70" t="n">
        <v>8000</v>
      </c>
      <c r="G13" s="70" t="n">
        <v>0</v>
      </c>
      <c r="H13" s="70" t="n">
        <v>0</v>
      </c>
      <c r="I13" s="30" t="inlineStr">
        <is>
          <t>GO date TBD; excluded until date confirmed</t>
        </is>
      </c>
    </row>
    <row r="16">
      <c r="A16" s="48" t="inlineStr">
        <is>
          <t>Planning summary</t>
        </is>
      </c>
      <c r="B16" s="48" t="str"/>
      <c r="C16" s="48" t="str"/>
      <c r="D16" s="48" t="str"/>
    </row>
    <row r="17">
      <c r="A17" t="inlineStr">
        <is>
          <t>Current outlet count stated as at 30 Sep 2026</t>
        </is>
      </c>
      <c r="B17" s="71" t="n">
        <v>34</v>
      </c>
    </row>
    <row r="18">
      <c r="A18" t="inlineStr">
        <is>
          <t>New outlet daily sales assumption</t>
        </is>
      </c>
      <c r="B18" s="71" t="n">
        <v>8000</v>
      </c>
      <c r="C18" t="inlineStr">
        <is>
          <t>RM / day</t>
        </is>
      </c>
    </row>
    <row r="19">
      <c r="A19" t="inlineStr">
        <is>
          <t>Sep incremental sales from listed openings</t>
        </is>
      </c>
      <c r="B19" s="71">
        <f>SUM(G2:G13)</f>
        <v/>
      </c>
    </row>
    <row r="20">
      <c r="A20" t="inlineStr">
        <is>
          <t>Oct-Dec incremental sales from listed openings</t>
        </is>
      </c>
      <c r="B20" s="71">
        <f>SUM(H2:H13)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7" customWidth="1" min="3" max="3"/>
    <col width="14" customWidth="1" min="4" max="4"/>
    <col width="11" customWidth="1" min="5" max="5"/>
    <col width="9" customWidth="1" min="6" max="6"/>
    <col width="15" customWidth="1" min="7" max="7"/>
    <col width="15" customWidth="1" min="8" max="8"/>
    <col width="70" customWidth="1" min="9" max="9"/>
  </cols>
  <sheetData>
    <row r="1">
      <c r="A1" s="75" t="inlineStr">
        <is>
          <t>TGFB — Q4 2026 Cash Flow Forecast: Assumptions</t>
        </is>
      </c>
    </row>
    <row r="2">
      <c r="A2" s="52" t="inlineStr">
        <is>
          <t>Blue = input (from you / estimate) · Green = link to another sheet · Black = formula · Yellow = estimate to confirm. Outflows are negative, as in the cash flow template.</t>
        </is>
      </c>
    </row>
    <row r="4">
      <c r="A4" s="64" t="inlineStr">
        <is>
          <t>GENERAL</t>
        </is>
      </c>
      <c r="B4" s="65" t="n"/>
      <c r="C4" s="65" t="n"/>
      <c r="D4" s="65" t="n"/>
      <c r="E4" s="65" t="n"/>
      <c r="F4" s="65" t="n"/>
      <c r="G4" s="65" t="n"/>
      <c r="H4" s="65" t="n"/>
      <c r="I4" s="65" t="n"/>
    </row>
    <row r="5">
      <c r="A5" s="56" t="inlineStr">
        <is>
          <t>Forecast start</t>
        </is>
      </c>
      <c r="B5" s="76" t="n">
        <v>46296</v>
      </c>
      <c r="I5" s="52" t="inlineStr">
        <is>
          <t>Day after the Sep-30 bridge</t>
        </is>
      </c>
    </row>
    <row r="6">
      <c r="A6" s="56" t="inlineStr">
        <is>
          <t>Forecast end</t>
        </is>
      </c>
      <c r="B6" s="76" t="n">
        <v>46387</v>
      </c>
      <c r="I6" s="52" t="inlineStr">
        <is>
          <t>Your item 1: up to 31 Dec</t>
        </is>
      </c>
    </row>
    <row r="7">
      <c r="A7" s="56" t="inlineStr">
        <is>
          <t>Opening Maybank balance (forecast 30 Sep)</t>
        </is>
      </c>
      <c r="B7" s="77">
        <f>'Sep30 Bridge'!G7</f>
        <v/>
      </c>
      <c r="I7" s="52" t="inlineStr">
        <is>
          <t>Sep30 Bridge closing</t>
        </is>
      </c>
    </row>
    <row r="8">
      <c r="A8" s="56" t="inlineStr">
        <is>
          <t>Opening RHB balance (forecast 30 Sep)</t>
        </is>
      </c>
      <c r="B8" s="77">
        <f>'Sep30 Bridge'!G12</f>
        <v/>
      </c>
      <c r="I8" s="52" t="inlineStr">
        <is>
          <t>Sep30 Bridge closing</t>
        </is>
      </c>
    </row>
    <row r="9">
      <c r="A9" s="56" t="inlineStr">
        <is>
          <t>Outlets operating at 30 Sep (incl. Pasir Gudang)</t>
        </is>
      </c>
      <c r="B9" s="78" t="n">
        <v>34</v>
      </c>
      <c r="I9" s="52" t="inlineStr">
        <is>
          <t>Your item 4</t>
        </is>
      </c>
    </row>
    <row r="10">
      <c r="A10" s="56" t="inlineStr">
        <is>
          <t>Fixed deposit</t>
        </is>
      </c>
      <c r="B10" s="79" t="inlineStr">
        <is>
          <t>Excluded</t>
        </is>
      </c>
      <c r="I10" s="52" t="inlineStr">
        <is>
          <t>Your item 11: FD matures 2027 (1-yr tenure) — no FD cash movement in Q4</t>
        </is>
      </c>
    </row>
    <row r="12">
      <c r="A12" s="64" t="inlineStr">
        <is>
          <t>NEW OUTLETS</t>
        </is>
      </c>
      <c r="B12" s="65" t="n"/>
      <c r="C12" s="65" t="n"/>
      <c r="D12" s="65" t="n"/>
      <c r="E12" s="65" t="n"/>
      <c r="F12" s="65" t="n"/>
      <c r="G12" s="65" t="n"/>
      <c r="H12" s="65" t="n"/>
      <c r="I12" s="65" t="n"/>
    </row>
    <row r="13">
      <c r="A13" s="56" t="inlineStr">
        <is>
          <t>Sales per new outlet per day (RM)</t>
        </is>
      </c>
      <c r="B13" s="80" t="n">
        <v>8000</v>
      </c>
      <c r="I13" s="52" t="inlineStr">
        <is>
          <t>Your item 2</t>
        </is>
      </c>
    </row>
    <row r="14">
      <c r="A14" s="56" t="inlineStr">
        <is>
          <t>Rental % of new-outlet sales</t>
        </is>
      </c>
      <c r="B14" s="81" t="n">
        <v>0.05</v>
      </c>
      <c r="I14" s="52" t="inlineStr">
        <is>
          <t>Rental part of your original 15% running cost (wages now follow the 2%-per-outlet rule below)</t>
        </is>
      </c>
    </row>
    <row r="15">
      <c r="A15" s="56" t="inlineStr">
        <is>
          <t>Wage increase per new outlet open</t>
        </is>
      </c>
      <c r="B15" s="82" t="n">
        <v>0.02</v>
      </c>
      <c r="I15" s="52" t="inlineStr">
        <is>
          <t>Your instruction: +2% on the payroll (1st-week + 25th) for each new outlet open</t>
        </is>
      </c>
    </row>
    <row r="16">
      <c r="A16" s="56" t="inlineStr">
        <is>
          <t>Branch Expenditure &amp; Upkeep increase per new outlet open</t>
        </is>
      </c>
      <c r="B16" s="82" t="n">
        <v>0.01</v>
      </c>
      <c r="I16" s="52" t="inlineStr">
        <is>
          <t>Your instruction: +1% per new outlet</t>
        </is>
      </c>
    </row>
    <row r="17">
      <c r="A17" s="56" t="inlineStr">
        <is>
          <t>Inventory purchases increase per new outlet open</t>
        </is>
      </c>
      <c r="B17" s="82" t="n">
        <v>0.03</v>
      </c>
      <c r="I17" s="52" t="inlineStr">
        <is>
          <t>Your instruction: +3% per new outlet</t>
        </is>
      </c>
    </row>
    <row r="18">
      <c r="A18" s="56" t="inlineStr">
        <is>
          <t>Capex paid N days before grand opening</t>
        </is>
      </c>
      <c r="B18" s="78" t="n">
        <v>45</v>
      </c>
      <c r="I18" s="52" t="inlineStr">
        <is>
          <t>Your item 6. Lump sum on GO−45; if already past, balance paid 1 Oct</t>
        </is>
      </c>
    </row>
    <row r="19">
      <c r="A19" s="56" t="inlineStr">
        <is>
          <t>Capex — first 3 outlets (RM/outlet)</t>
        </is>
      </c>
      <c r="B19" s="80" t="n">
        <v>650000</v>
      </c>
      <c r="I19" s="52" t="inlineStr">
        <is>
          <t>Your item 5</t>
        </is>
      </c>
    </row>
    <row r="20">
      <c r="A20" s="56" t="inlineStr">
        <is>
          <t>Capex — subsequent outlets (RM/outlet)</t>
        </is>
      </c>
      <c r="B20" s="80" t="n">
        <v>450000</v>
      </c>
      <c r="I20" s="52" t="inlineStr">
        <is>
          <t>Your item 6</t>
        </is>
      </c>
    </row>
    <row r="21">
      <c r="A21" s="56" t="inlineStr">
        <is>
          <t>Capex paid to 30 Sep — Pasir Gudang</t>
        </is>
      </c>
      <c r="B21" s="83" t="n">
        <v>650000</v>
      </c>
      <c r="I21" s="52" t="inlineStr">
        <is>
          <t>ASSUMPTION: Pasir Gudang (opened 30 Sep) fully paid — no further capex in Q4</t>
        </is>
      </c>
    </row>
    <row r="22">
      <c r="A22" s="56" t="inlineStr">
        <is>
          <t>Capex paid to 30 Sep — Cheras Dwitasik</t>
        </is>
      </c>
      <c r="B22" s="80" t="n">
        <v>91500</v>
      </c>
      <c r="I22" s="52" t="inlineStr">
        <is>
          <t>Your item 9</t>
        </is>
      </c>
    </row>
    <row r="23">
      <c r="A23" s="56" t="inlineStr">
        <is>
          <t>Capex paid to 30 Sep — Petaling Jaya</t>
        </is>
      </c>
      <c r="B23" s="80" t="n">
        <v>122330.7</v>
      </c>
      <c r="I23" s="52" t="inlineStr">
        <is>
          <t>Your item 9 (AHRA Interior, 29 Sep)</t>
        </is>
      </c>
    </row>
    <row r="24">
      <c r="A24" s="56" t="inlineStr">
        <is>
          <t>Deposit per new outlet — 5 outlets Oct–Nov (RM)</t>
        </is>
      </c>
      <c r="B24" s="83" t="n">
        <v>30000</v>
      </c>
      <c r="I24" s="52" t="inlineStr">
        <is>
          <t>ASSUMPTION: amount not given (your item 14) — placeholder</t>
        </is>
      </c>
    </row>
    <row r="26">
      <c r="A26" s="64" t="inlineStr">
        <is>
          <t>WAGES &amp; RHB</t>
        </is>
      </c>
      <c r="B26" s="65" t="n"/>
      <c r="C26" s="65" t="n"/>
      <c r="D26" s="65" t="n"/>
      <c r="E26" s="65" t="n"/>
      <c r="F26" s="65" t="n"/>
      <c r="G26" s="65" t="n"/>
      <c r="H26" s="65" t="n"/>
      <c r="I26" s="65" t="n"/>
    </row>
    <row r="27">
      <c r="A27" s="56" t="inlineStr">
        <is>
          <t>RHB cash deposits per day</t>
        </is>
      </c>
      <c r="B27" s="77">
        <f>'Sep30 Bridge'!D11</f>
        <v/>
      </c>
      <c r="I27" s="52" t="inlineStr">
        <is>
          <t>Sep30 Bridge (average daily cash deposit)</t>
        </is>
      </c>
    </row>
    <row r="28">
      <c r="A28" s="56" t="inlineStr">
        <is>
          <t>Payroll on the 25th (RHB) — base</t>
        </is>
      </c>
      <c r="B28" s="83" t="n">
        <v>475000</v>
      </c>
      <c r="I28" s="52" t="inlineStr">
        <is>
          <t>Your instruction: RM450k–500k in the week of the 25th — midpoint RM475k used (Sep RHB payroll was RM439,928)</t>
        </is>
      </c>
    </row>
    <row r="29">
      <c r="A29" s="56" t="inlineStr">
        <is>
          <t>Minimum RHB balance before Maybank top-up</t>
        </is>
      </c>
      <c r="B29" s="80" t="n">
        <v>20000</v>
      </c>
      <c r="I29" s="52" t="inlineStr">
        <is>
          <t>Maybank tops RHB up only when needed for payroll (as on 25 Sep)</t>
        </is>
      </c>
    </row>
    <row r="30">
      <c r="A30" s="56" t="inlineStr">
        <is>
          <t>Wages — first week of each month (Maybank) — base</t>
        </is>
      </c>
      <c r="B30" s="80" t="n">
        <v>1000000</v>
      </c>
      <c r="I30" s="52" t="inlineStr">
        <is>
          <t>Your instruction: RM1M in the first week of the month (paid on the 3rd)</t>
        </is>
      </c>
    </row>
    <row r="31">
      <c r="A31" s="64" t="inlineStr">
        <is>
          <t>EXISTING 34 OUTLETS — BASELINE FROM SEPTEMBER CASH FLOW STATEMENT (MAYBANK, 1–28 SEP)</t>
        </is>
      </c>
      <c r="B31" s="65" t="n"/>
      <c r="C31" s="65" t="n"/>
      <c r="D31" s="65" t="n"/>
      <c r="E31" s="65" t="n"/>
      <c r="F31" s="65" t="n"/>
      <c r="G31" s="65" t="n"/>
      <c r="H31" s="65" t="n"/>
      <c r="I31" s="65" t="n"/>
    </row>
    <row r="32">
      <c r="A32" s="56" t="inlineStr">
        <is>
          <t>Days covered by September actual</t>
        </is>
      </c>
      <c r="B32" s="78" t="n">
        <v>28</v>
      </c>
      <c r="I32" s="52" t="inlineStr">
        <is>
          <t>TGFB Cash Flow Sept 2026: 1 Sep opening 14,257,277.95 → 13,269,622.60 (28 Sep actual)</t>
        </is>
      </c>
    </row>
    <row r="33">
      <c r="A33" s="56" t="inlineStr">
        <is>
          <t>Sep opening balance (Maybank, 1 Sep)</t>
        </is>
      </c>
      <c r="B33" s="80" t="n">
        <v>14257277.95</v>
      </c>
      <c r="I33" s="52" t="inlineStr">
        <is>
          <t>Cash flow statement</t>
        </is>
      </c>
    </row>
    <row r="34">
      <c r="A34" s="52" t="inlineStr">
        <is>
          <t>Basis: Daily = Sep actual ÷ 28 days, spread every day · Monthly = paid once a month on 'Pay day' · Excluded = one-off, not repeated (Q4 amounts come from the events table below)</t>
        </is>
      </c>
    </row>
    <row r="35">
      <c r="A35" s="84" t="inlineStr">
        <is>
          <t>Template line</t>
        </is>
      </c>
      <c r="B35" s="84" t="inlineStr">
        <is>
          <t>Section</t>
        </is>
      </c>
      <c r="C35" s="84" t="inlineStr">
        <is>
          <t>Sep'26 actual</t>
        </is>
      </c>
      <c r="D35" s="84" t="inlineStr">
        <is>
          <t>Adjustment</t>
        </is>
      </c>
      <c r="E35" s="84" t="inlineStr">
        <is>
          <t>Basis</t>
        </is>
      </c>
      <c r="F35" s="84" t="inlineStr">
        <is>
          <t>Pay day</t>
        </is>
      </c>
      <c r="G35" s="84" t="inlineStr">
        <is>
          <t>Per day (Q4)</t>
        </is>
      </c>
      <c r="H35" s="84" t="inlineStr">
        <is>
          <t>Per month (Q4)</t>
        </is>
      </c>
      <c r="I35" s="84" t="inlineStr">
        <is>
          <t>Why</t>
        </is>
      </c>
    </row>
    <row r="36">
      <c r="A36" s="56" t="inlineStr">
        <is>
          <t>Customers &amp; Sales</t>
        </is>
      </c>
      <c r="B36" s="56" t="inlineStr">
        <is>
          <t>Operations — in</t>
        </is>
      </c>
      <c r="C36" s="80" t="n">
        <v>8833557.289999999</v>
      </c>
      <c r="D36" s="80" t="n">
        <v>0</v>
      </c>
      <c r="E36" s="79" t="inlineStr">
        <is>
          <t>Daily</t>
        </is>
      </c>
      <c r="F36" s="78" t="n"/>
      <c r="G36" s="85">
        <f>IF(E36="Daily",(C36+D36)/'Q4 Assumptions'!$B$32,0)</f>
        <v/>
      </c>
      <c r="H36" s="85">
        <f>IF(E36="Monthly",C36+D36,0)</f>
        <v/>
      </c>
      <c r="I36" s="52" t="inlineStr">
        <is>
          <t>Existing outlets at Sep daily rate. New-outlet sales and RHB cash deposits added on the weekly sheet</t>
        </is>
      </c>
    </row>
    <row r="37">
      <c r="A37" s="56" t="inlineStr">
        <is>
          <t>Licensing fee</t>
        </is>
      </c>
      <c r="B37" s="56" t="inlineStr">
        <is>
          <t>Operations — in</t>
        </is>
      </c>
      <c r="C37" s="80" t="n">
        <v>120000</v>
      </c>
      <c r="D37" s="80" t="n">
        <v>0</v>
      </c>
      <c r="E37" s="79" t="inlineStr">
        <is>
          <t>Excluded</t>
        </is>
      </c>
      <c r="F37" s="78" t="n"/>
      <c r="G37" s="85">
        <f>IF(E37="Daily",(C37+D37)/'Q4 Assumptions'!$B$32,0)</f>
        <v/>
      </c>
      <c r="H37" s="85">
        <f>IF(E37="Monthly",C37+D37,0)</f>
        <v/>
      </c>
      <c r="I37" s="52" t="inlineStr">
        <is>
          <t>One-off licensee fee in Sep — not assumed to recur</t>
        </is>
      </c>
    </row>
    <row r="38">
      <c r="A38" s="56" t="inlineStr">
        <is>
          <t>Licensing package</t>
        </is>
      </c>
      <c r="B38" s="56" t="inlineStr">
        <is>
          <t>Operations — in</t>
        </is>
      </c>
      <c r="C38" s="80" t="n">
        <v>0</v>
      </c>
      <c r="D38" s="80" t="n">
        <v>0</v>
      </c>
      <c r="E38" s="79" t="inlineStr">
        <is>
          <t>Excluded</t>
        </is>
      </c>
      <c r="F38" s="78" t="n"/>
      <c r="G38" s="85">
        <f>IF(E38="Daily",(C38+D38)/'Q4 Assumptions'!$B$32,0)</f>
        <v/>
      </c>
      <c r="H38" s="85">
        <f>IF(E38="Monthly",C38+D38,0)</f>
        <v/>
      </c>
      <c r="I38" s="52" t="inlineStr">
        <is>
          <t>Q4: PJ balance RM255k (events)</t>
        </is>
      </c>
    </row>
    <row r="39">
      <c r="A39" s="56" t="inlineStr">
        <is>
          <t>Royalty</t>
        </is>
      </c>
      <c r="B39" s="56" t="inlineStr">
        <is>
          <t>Operations — in</t>
        </is>
      </c>
      <c r="C39" s="80" t="n">
        <v>296844.55</v>
      </c>
      <c r="D39" s="80" t="n">
        <v>0</v>
      </c>
      <c r="E39" s="79" t="inlineStr">
        <is>
          <t>Monthly</t>
        </is>
      </c>
      <c r="F39" s="78" t="n">
        <v>10</v>
      </c>
      <c r="G39" s="85">
        <f>IF(E39="Daily",(C39+D39)/'Q4 Assumptions'!$B$32,0)</f>
        <v/>
      </c>
      <c r="H39" s="85">
        <f>IF(E39="Monthly",C39+D39,0)</f>
        <v/>
      </c>
      <c r="I39" s="52" t="inlineStr">
        <is>
          <t>Monthly royalty from licensees</t>
        </is>
      </c>
    </row>
    <row r="40">
      <c r="A40" s="56" t="inlineStr">
        <is>
          <t>Other operations</t>
        </is>
      </c>
      <c r="B40" s="56" t="inlineStr">
        <is>
          <t>Operations — in</t>
        </is>
      </c>
      <c r="C40" s="80" t="n">
        <v>37586.57</v>
      </c>
      <c r="D40" s="80" t="n">
        <v>0</v>
      </c>
      <c r="E40" s="79" t="inlineStr">
        <is>
          <t>Daily</t>
        </is>
      </c>
      <c r="F40" s="78" t="n"/>
      <c r="G40" s="85">
        <f>IF(E40="Daily",(C40+D40)/'Q4 Assumptions'!$B$32,0)</f>
        <v/>
      </c>
      <c r="H40" s="85">
        <f>IF(E40="Monthly",C40+D40,0)</f>
        <v/>
      </c>
      <c r="I40" s="52" t="inlineStr"/>
    </row>
    <row r="41">
      <c r="A41" s="56" t="inlineStr">
        <is>
          <t>Inventory purchases</t>
        </is>
      </c>
      <c r="B41" s="56" t="inlineStr">
        <is>
          <t>Operations — out</t>
        </is>
      </c>
      <c r="C41" s="80" t="n">
        <v>-4009021.39</v>
      </c>
      <c r="D41" s="80" t="n">
        <v>0</v>
      </c>
      <c r="E41" s="79" t="inlineStr">
        <is>
          <t>Daily</t>
        </is>
      </c>
      <c r="F41" s="78" t="n"/>
      <c r="G41" s="85">
        <f>IF(E41="Daily",(C41+D41)/'Q4 Assumptions'!$B$32,0)</f>
        <v/>
      </c>
      <c r="H41" s="85">
        <f>IF(E41="Monthly",C41+D41,0)</f>
        <v/>
      </c>
      <c r="I41" s="52" t="inlineStr">
        <is>
          <t>Existing outlets at Sep daily rate</t>
        </is>
      </c>
    </row>
    <row r="42">
      <c r="A42" s="56" t="inlineStr">
        <is>
          <t>Distribution Fee</t>
        </is>
      </c>
      <c r="B42" s="56" t="inlineStr">
        <is>
          <t>Operations — out</t>
        </is>
      </c>
      <c r="C42" s="80" t="n">
        <v>-187370</v>
      </c>
      <c r="D42" s="80" t="n">
        <v>0</v>
      </c>
      <c r="E42" s="79" t="inlineStr">
        <is>
          <t>Daily</t>
        </is>
      </c>
      <c r="F42" s="78" t="n"/>
      <c r="G42" s="85">
        <f>IF(E42="Daily",(C42+D42)/'Q4 Assumptions'!$B$32,0)</f>
        <v/>
      </c>
      <c r="H42" s="85">
        <f>IF(E42="Monthly",C42+D42,0)</f>
        <v/>
      </c>
      <c r="I42" s="52" t="inlineStr"/>
    </row>
    <row r="43">
      <c r="A43" s="56" t="inlineStr">
        <is>
          <t>Deposit</t>
        </is>
      </c>
      <c r="B43" s="56" t="inlineStr">
        <is>
          <t>Operations — out</t>
        </is>
      </c>
      <c r="C43" s="80" t="n">
        <v>-227765</v>
      </c>
      <c r="D43" s="80" t="n">
        <v>0</v>
      </c>
      <c r="E43" s="79" t="inlineStr">
        <is>
          <t>Excluded</t>
        </is>
      </c>
      <c r="F43" s="78" t="n"/>
      <c r="G43" s="85">
        <f>IF(E43="Daily",(C43+D43)/'Q4 Assumptions'!$B$32,0)</f>
        <v/>
      </c>
      <c r="H43" s="85">
        <f>IF(E43="Monthly",C43+D43,0)</f>
        <v/>
      </c>
      <c r="I43" s="52" t="inlineStr">
        <is>
          <t>Sep deposits one-off. Q4: 5 new-outlet deposits (events)</t>
        </is>
      </c>
    </row>
    <row r="44">
      <c r="A44" s="56" t="inlineStr">
        <is>
          <t>HQ Operation</t>
        </is>
      </c>
      <c r="B44" s="56" t="inlineStr">
        <is>
          <t>Operations — out</t>
        </is>
      </c>
      <c r="C44" s="80" t="n">
        <v>-273878.42</v>
      </c>
      <c r="D44" s="80" t="n">
        <v>0</v>
      </c>
      <c r="E44" s="79" t="inlineStr">
        <is>
          <t>Daily</t>
        </is>
      </c>
      <c r="F44" s="78" t="n"/>
      <c r="G44" s="85">
        <f>IF(E44="Daily",(C44+D44)/'Q4 Assumptions'!$B$32,0)</f>
        <v/>
      </c>
      <c r="H44" s="85">
        <f>IF(E44="Monthly",C44+D44,0)</f>
        <v/>
      </c>
      <c r="I44" s="52" t="inlineStr"/>
    </row>
    <row r="45">
      <c r="A45" s="56" t="inlineStr">
        <is>
          <t>Operation</t>
        </is>
      </c>
      <c r="B45" s="56" t="inlineStr">
        <is>
          <t>Operations — out</t>
        </is>
      </c>
      <c r="C45" s="80" t="n">
        <v>0</v>
      </c>
      <c r="D45" s="80" t="n">
        <v>0</v>
      </c>
      <c r="E45" s="79" t="inlineStr">
        <is>
          <t>Excluded</t>
        </is>
      </c>
      <c r="F45" s="78" t="n"/>
      <c r="G45" s="85">
        <f>IF(E45="Daily",(C45+D45)/'Q4 Assumptions'!$B$32,0)</f>
        <v/>
      </c>
      <c r="H45" s="85">
        <f>IF(E45="Monthly",C45+D45,0)</f>
        <v/>
      </c>
      <c r="I45" s="52" t="inlineStr"/>
    </row>
    <row r="46">
      <c r="A46" s="56" t="inlineStr">
        <is>
          <t>Marketing</t>
        </is>
      </c>
      <c r="B46" s="56" t="inlineStr">
        <is>
          <t>Operations — out</t>
        </is>
      </c>
      <c r="C46" s="80" t="n">
        <v>-6945.85</v>
      </c>
      <c r="D46" s="80" t="n">
        <v>0</v>
      </c>
      <c r="E46" s="79" t="inlineStr">
        <is>
          <t>Daily</t>
        </is>
      </c>
      <c r="F46" s="78" t="n"/>
      <c r="G46" s="85">
        <f>IF(E46="Daily",(C46+D46)/'Q4 Assumptions'!$B$32,0)</f>
        <v/>
      </c>
      <c r="H46" s="85">
        <f>IF(E46="Monthly",C46+D46,0)</f>
        <v/>
      </c>
      <c r="I46" s="52" t="inlineStr"/>
    </row>
    <row r="47">
      <c r="A47" s="56" t="inlineStr">
        <is>
          <t>Profit sharing</t>
        </is>
      </c>
      <c r="B47" s="56" t="inlineStr">
        <is>
          <t>Operations — out</t>
        </is>
      </c>
      <c r="C47" s="80" t="n">
        <v>-67013.89999999999</v>
      </c>
      <c r="D47" s="80" t="n">
        <v>0</v>
      </c>
      <c r="E47" s="79" t="inlineStr">
        <is>
          <t>Monthly</t>
        </is>
      </c>
      <c r="F47" s="78" t="n">
        <v>15</v>
      </c>
      <c r="G47" s="85">
        <f>IF(E47="Daily",(C47+D47)/'Q4 Assumptions'!$B$32,0)</f>
        <v/>
      </c>
      <c r="H47" s="85">
        <f>IF(E47="Monthly",C47+D47,0)</f>
        <v/>
      </c>
      <c r="I47" s="52" t="inlineStr"/>
    </row>
    <row r="48">
      <c r="A48" s="56" t="inlineStr">
        <is>
          <t>Wage expenses</t>
        </is>
      </c>
      <c r="B48" s="56" t="inlineStr">
        <is>
          <t>Operations — out</t>
        </is>
      </c>
      <c r="C48" s="80" t="n">
        <v>-1493708.5</v>
      </c>
      <c r="D48" s="80" t="n">
        <v>0</v>
      </c>
      <c r="E48" s="79" t="inlineStr">
        <is>
          <t>Excluded</t>
        </is>
      </c>
      <c r="F48" s="78" t="n"/>
      <c r="G48" s="85">
        <f>IF(E48="Daily",(C48+D48)/'Q4 Assumptions'!$B$32,0)</f>
        <v/>
      </c>
      <c r="H48" s="85">
        <f>IF(E48="Monthly",C48+D48,0)</f>
        <v/>
      </c>
      <c r="I48" s="52" t="inlineStr">
        <is>
          <t>Q4 wages per your schedule (events): RM1M first week (Maybank) + RM475k on the 25th (RHB), +2% per new outlet; plus foreign workers &amp; bonus</t>
        </is>
      </c>
    </row>
    <row r="49">
      <c r="A49" s="56" t="inlineStr">
        <is>
          <t>Bank Charges</t>
        </is>
      </c>
      <c r="B49" s="56" t="inlineStr">
        <is>
          <t>Operations — out</t>
        </is>
      </c>
      <c r="C49" s="80" t="n">
        <v>-239.04</v>
      </c>
      <c r="D49" s="80" t="n">
        <v>0</v>
      </c>
      <c r="E49" s="79" t="inlineStr">
        <is>
          <t>Daily</t>
        </is>
      </c>
      <c r="F49" s="78" t="n"/>
      <c r="G49" s="85">
        <f>IF(E49="Daily",(C49+D49)/'Q4 Assumptions'!$B$32,0)</f>
        <v/>
      </c>
      <c r="H49" s="85">
        <f>IF(E49="Monthly",C49+D49,0)</f>
        <v/>
      </c>
      <c r="I49" s="52" t="inlineStr"/>
    </row>
    <row r="50">
      <c r="A50" s="56" t="inlineStr">
        <is>
          <t>Income taxes</t>
        </is>
      </c>
      <c r="B50" s="56" t="inlineStr">
        <is>
          <t>Operations — out</t>
        </is>
      </c>
      <c r="C50" s="80" t="n">
        <v>-250000</v>
      </c>
      <c r="D50" s="80" t="n">
        <v>0</v>
      </c>
      <c r="E50" s="79" t="inlineStr">
        <is>
          <t>Monthly</t>
        </is>
      </c>
      <c r="F50" s="78" t="n">
        <v>15</v>
      </c>
      <c r="G50" s="85">
        <f>IF(E50="Daily",(C50+D50)/'Q4 Assumptions'!$B$32,0)</f>
        <v/>
      </c>
      <c r="H50" s="85">
        <f>IF(E50="Monthly",C50+D50,0)</f>
        <v/>
      </c>
      <c r="I50" s="52" t="inlineStr">
        <is>
          <t>Monthly tax instalment (CP204), due 15th</t>
        </is>
      </c>
    </row>
    <row r="51">
      <c r="A51" s="56" t="inlineStr">
        <is>
          <t>New Branches Expenses</t>
        </is>
      </c>
      <c r="B51" s="56" t="inlineStr">
        <is>
          <t>Operations — out</t>
        </is>
      </c>
      <c r="C51" s="80" t="n">
        <v>-13664</v>
      </c>
      <c r="D51" s="80" t="n">
        <v>0</v>
      </c>
      <c r="E51" s="79" t="inlineStr">
        <is>
          <t>Daily</t>
        </is>
      </c>
      <c r="F51" s="78" t="n"/>
      <c r="G51" s="85">
        <f>IF(E51="Daily",(C51+D51)/'Q4 Assumptions'!$B$32,0)</f>
        <v/>
      </c>
      <c r="H51" s="85">
        <f>IF(E51="Monthly",C51+D51,0)</f>
        <v/>
      </c>
      <c r="I51" s="52" t="inlineStr"/>
    </row>
    <row r="52">
      <c r="A52" s="56" t="inlineStr">
        <is>
          <t>Branch Expenditure &amp; Upkeep</t>
        </is>
      </c>
      <c r="B52" s="56" t="inlineStr">
        <is>
          <t>Operations — out</t>
        </is>
      </c>
      <c r="C52" s="80" t="n">
        <v>-153655.6</v>
      </c>
      <c r="D52" s="80" t="n">
        <v>0</v>
      </c>
      <c r="E52" s="79" t="inlineStr">
        <is>
          <t>Daily</t>
        </is>
      </c>
      <c r="F52" s="78" t="n"/>
      <c r="G52" s="85">
        <f>IF(E52="Daily",(C52+D52)/'Q4 Assumptions'!$B$32,0)</f>
        <v/>
      </c>
      <c r="H52" s="85">
        <f>IF(E52="Monthly",C52+D52,0)</f>
        <v/>
      </c>
      <c r="I52" s="52" t="inlineStr"/>
    </row>
    <row r="53">
      <c r="A53" s="56" t="inlineStr">
        <is>
          <t>Credit Card</t>
        </is>
      </c>
      <c r="B53" s="56" t="inlineStr">
        <is>
          <t>Operations — out</t>
        </is>
      </c>
      <c r="C53" s="80" t="n">
        <v>-102185.69</v>
      </c>
      <c r="D53" s="80" t="n">
        <v>0</v>
      </c>
      <c r="E53" s="79" t="inlineStr">
        <is>
          <t>Monthly</t>
        </is>
      </c>
      <c r="F53" s="78" t="n">
        <v>20</v>
      </c>
      <c r="G53" s="85">
        <f>IF(E53="Daily",(C53+D53)/'Q4 Assumptions'!$B$32,0)</f>
        <v/>
      </c>
      <c r="H53" s="85">
        <f>IF(E53="Monthly",C53+D53,0)</f>
        <v/>
      </c>
      <c r="I53" s="52" t="inlineStr"/>
    </row>
    <row r="54">
      <c r="A54" s="56" t="inlineStr">
        <is>
          <t>Open House &amp; Iftar</t>
        </is>
      </c>
      <c r="B54" s="56" t="inlineStr">
        <is>
          <t>Operations — out</t>
        </is>
      </c>
      <c r="C54" s="80" t="n">
        <v>0</v>
      </c>
      <c r="D54" s="80" t="n">
        <v>0</v>
      </c>
      <c r="E54" s="79" t="inlineStr">
        <is>
          <t>Excluded</t>
        </is>
      </c>
      <c r="F54" s="78" t="n"/>
      <c r="G54" s="85">
        <f>IF(E54="Daily",(C54+D54)/'Q4 Assumptions'!$B$32,0)</f>
        <v/>
      </c>
      <c r="H54" s="85">
        <f>IF(E54="Monthly",C54+D54,0)</f>
        <v/>
      </c>
      <c r="I54" s="52" t="inlineStr"/>
    </row>
    <row r="55">
      <c r="A55" s="56" t="inlineStr">
        <is>
          <t>Co Trip</t>
        </is>
      </c>
      <c r="B55" s="56" t="inlineStr">
        <is>
          <t>Operations — out</t>
        </is>
      </c>
      <c r="C55" s="80" t="n">
        <v>0</v>
      </c>
      <c r="D55" s="80" t="n">
        <v>0</v>
      </c>
      <c r="E55" s="79" t="inlineStr">
        <is>
          <t>Excluded</t>
        </is>
      </c>
      <c r="F55" s="78" t="n"/>
      <c r="G55" s="85">
        <f>IF(E55="Daily",(C55+D55)/'Q4 Assumptions'!$B$32,0)</f>
        <v/>
      </c>
      <c r="H55" s="85">
        <f>IF(E55="Monthly",C55+D55,0)</f>
        <v/>
      </c>
      <c r="I55" s="52" t="inlineStr"/>
    </row>
    <row r="56">
      <c r="A56" s="56" t="inlineStr">
        <is>
          <t>Utilities</t>
        </is>
      </c>
      <c r="B56" s="56" t="inlineStr">
        <is>
          <t>Operations — out</t>
        </is>
      </c>
      <c r="C56" s="80" t="n">
        <v>-169005.7</v>
      </c>
      <c r="D56" s="80" t="n">
        <v>0</v>
      </c>
      <c r="E56" s="79" t="inlineStr">
        <is>
          <t>Daily</t>
        </is>
      </c>
      <c r="F56" s="78" t="n"/>
      <c r="G56" s="85">
        <f>IF(E56="Daily",(C56+D56)/'Q4 Assumptions'!$B$32,0)</f>
        <v/>
      </c>
      <c r="H56" s="85">
        <f>IF(E56="Monthly",C56+D56,0)</f>
        <v/>
      </c>
      <c r="I56" s="52" t="inlineStr"/>
    </row>
    <row r="57">
      <c r="A57" s="56" t="inlineStr">
        <is>
          <t>Rental</t>
        </is>
      </c>
      <c r="B57" s="56" t="inlineStr">
        <is>
          <t>Operations — out</t>
        </is>
      </c>
      <c r="C57" s="80" t="n">
        <v>-468891.05</v>
      </c>
      <c r="D57" s="80" t="n">
        <v>0</v>
      </c>
      <c r="E57" s="79" t="inlineStr">
        <is>
          <t>Monthly</t>
        </is>
      </c>
      <c r="F57" s="78" t="n">
        <v>7</v>
      </c>
      <c r="G57" s="85">
        <f>IF(E57="Daily",(C57+D57)/'Q4 Assumptions'!$B$32,0)</f>
        <v/>
      </c>
      <c r="H57" s="85">
        <f>IF(E57="Monthly",C57+D57,0)</f>
        <v/>
      </c>
      <c r="I57" s="52" t="inlineStr">
        <is>
          <t>Existing outlets; new-outlet rental added on the weekly sheet</t>
        </is>
      </c>
    </row>
    <row r="58">
      <c r="A58" s="56" t="inlineStr">
        <is>
          <t>Sponsorship</t>
        </is>
      </c>
      <c r="B58" s="56" t="inlineStr">
        <is>
          <t>Operations — out</t>
        </is>
      </c>
      <c r="C58" s="80" t="n">
        <v>0</v>
      </c>
      <c r="D58" s="80" t="n">
        <v>0</v>
      </c>
      <c r="E58" s="79" t="inlineStr">
        <is>
          <t>Excluded</t>
        </is>
      </c>
      <c r="F58" s="78" t="n"/>
      <c r="G58" s="85">
        <f>IF(E58="Daily",(C58+D58)/'Q4 Assumptions'!$B$32,0)</f>
        <v/>
      </c>
      <c r="H58" s="85">
        <f>IF(E58="Monthly",C58+D58,0)</f>
        <v/>
      </c>
      <c r="I58" s="52" t="inlineStr"/>
    </row>
    <row r="59">
      <c r="A59" s="56" t="inlineStr">
        <is>
          <t>SST</t>
        </is>
      </c>
      <c r="B59" s="56" t="inlineStr">
        <is>
          <t>Operations — out</t>
        </is>
      </c>
      <c r="C59" s="80" t="n">
        <v>0</v>
      </c>
      <c r="D59" s="80" t="n">
        <v>0</v>
      </c>
      <c r="E59" s="79" t="inlineStr">
        <is>
          <t>Excluded</t>
        </is>
      </c>
      <c r="F59" s="78" t="n"/>
      <c r="G59" s="85">
        <f>IF(E59="Daily",(C59+D59)/'Q4 Assumptions'!$B$32,0)</f>
        <v/>
      </c>
      <c r="H59" s="85">
        <f>IF(E59="Monthly",C59+D59,0)</f>
        <v/>
      </c>
      <c r="I59" s="52" t="inlineStr">
        <is>
          <t>Q4: Sep–Oct SST due 30 Nov (events)</t>
        </is>
      </c>
    </row>
    <row r="60">
      <c r="A60" s="56" t="inlineStr">
        <is>
          <t>Donation</t>
        </is>
      </c>
      <c r="B60" s="56" t="inlineStr">
        <is>
          <t>Operations — out</t>
        </is>
      </c>
      <c r="C60" s="80" t="n">
        <v>0</v>
      </c>
      <c r="D60" s="80" t="n">
        <v>0</v>
      </c>
      <c r="E60" s="79" t="inlineStr">
        <is>
          <t>Excluded</t>
        </is>
      </c>
      <c r="F60" s="78" t="n"/>
      <c r="G60" s="85">
        <f>IF(E60="Daily",(C60+D60)/'Q4 Assumptions'!$B$32,0)</f>
        <v/>
      </c>
      <c r="H60" s="85">
        <f>IF(E60="Monthly",C60+D60,0)</f>
        <v/>
      </c>
      <c r="I60" s="52" t="inlineStr"/>
    </row>
    <row r="61">
      <c r="A61" s="56" t="inlineStr">
        <is>
          <t>Proceeds from sale of equipment</t>
        </is>
      </c>
      <c r="B61" s="56" t="inlineStr">
        <is>
          <t>Investing — in</t>
        </is>
      </c>
      <c r="C61" s="80" t="n">
        <v>0</v>
      </c>
      <c r="D61" s="80" t="n">
        <v>0</v>
      </c>
      <c r="E61" s="79" t="inlineStr">
        <is>
          <t>Excluded</t>
        </is>
      </c>
      <c r="F61" s="78" t="n"/>
      <c r="G61" s="85">
        <f>IF(E61="Daily",(C61+D61)/'Q4 Assumptions'!$B$32,0)</f>
        <v/>
      </c>
      <c r="H61" s="85">
        <f>IF(E61="Monthly",C61+D61,0)</f>
        <v/>
      </c>
      <c r="I61" s="52" t="inlineStr"/>
    </row>
    <row r="62">
      <c r="A62" s="56" t="inlineStr">
        <is>
          <t>Proceeds from sale of motor vehicle</t>
        </is>
      </c>
      <c r="B62" s="56" t="inlineStr">
        <is>
          <t>Investing — in</t>
        </is>
      </c>
      <c r="C62" s="80" t="n">
        <v>0</v>
      </c>
      <c r="D62" s="80" t="n">
        <v>0</v>
      </c>
      <c r="E62" s="79" t="inlineStr">
        <is>
          <t>Excluded</t>
        </is>
      </c>
      <c r="F62" s="78" t="n"/>
      <c r="G62" s="85">
        <f>IF(E62="Daily",(C62+D62)/'Q4 Assumptions'!$B$32,0)</f>
        <v/>
      </c>
      <c r="H62" s="85">
        <f>IF(E62="Monthly",C62+D62,0)</f>
        <v/>
      </c>
      <c r="I62" s="52" t="inlineStr"/>
    </row>
    <row r="63">
      <c r="A63" s="56" t="inlineStr">
        <is>
          <t>Collection of Investor funds</t>
        </is>
      </c>
      <c r="B63" s="56" t="inlineStr">
        <is>
          <t>Investing — in</t>
        </is>
      </c>
      <c r="C63" s="80" t="n">
        <v>0</v>
      </c>
      <c r="D63" s="80" t="n">
        <v>0</v>
      </c>
      <c r="E63" s="79" t="inlineStr">
        <is>
          <t>Excluded</t>
        </is>
      </c>
      <c r="F63" s="78" t="n"/>
      <c r="G63" s="85">
        <f>IF(E63="Daily",(C63+D63)/'Q4 Assumptions'!$B$32,0)</f>
        <v/>
      </c>
      <c r="H63" s="85">
        <f>IF(E63="Monthly",C63+D63,0)</f>
        <v/>
      </c>
      <c r="I63" s="52" t="inlineStr">
        <is>
          <t>Q4: RM450k + RM200k (events)</t>
        </is>
      </c>
    </row>
    <row r="64">
      <c r="A64" s="56" t="inlineStr">
        <is>
          <t>Interest received from Maybank pooled</t>
        </is>
      </c>
      <c r="B64" s="56" t="inlineStr">
        <is>
          <t>Investing — in</t>
        </is>
      </c>
      <c r="C64" s="80" t="n">
        <v>8970.219999999999</v>
      </c>
      <c r="D64" s="80" t="n">
        <v>0</v>
      </c>
      <c r="E64" s="79" t="inlineStr">
        <is>
          <t>Monthly</t>
        </is>
      </c>
      <c r="F64" s="78" t="n">
        <v>28</v>
      </c>
      <c r="G64" s="85">
        <f>IF(E64="Daily",(C64+D64)/'Q4 Assumptions'!$B$32,0)</f>
        <v/>
      </c>
      <c r="H64" s="85">
        <f>IF(E64="Monthly",C64+D64,0)</f>
        <v/>
      </c>
      <c r="I64" s="52" t="inlineStr"/>
    </row>
    <row r="65">
      <c r="A65" s="56" t="inlineStr">
        <is>
          <t>Sale of investment securities</t>
        </is>
      </c>
      <c r="B65" s="56" t="inlineStr">
        <is>
          <t>Investing — in</t>
        </is>
      </c>
      <c r="C65" s="80" t="n">
        <v>0</v>
      </c>
      <c r="D65" s="80" t="n">
        <v>0</v>
      </c>
      <c r="E65" s="79" t="inlineStr">
        <is>
          <t>Excluded</t>
        </is>
      </c>
      <c r="F65" s="78" t="n"/>
      <c r="G65" s="85">
        <f>IF(E65="Daily",(C65+D65)/'Q4 Assumptions'!$B$32,0)</f>
        <v/>
      </c>
      <c r="H65" s="85">
        <f>IF(E65="Monthly",C65+D65,0)</f>
        <v/>
      </c>
      <c r="I65" s="52" t="inlineStr"/>
    </row>
    <row r="66">
      <c r="A66" s="56" t="inlineStr">
        <is>
          <t>Purchase of property and equipment</t>
        </is>
      </c>
      <c r="B66" s="56" t="inlineStr">
        <is>
          <t>Investing — out</t>
        </is>
      </c>
      <c r="C66" s="80" t="n">
        <v>-14400</v>
      </c>
      <c r="D66" s="80" t="n">
        <v>0</v>
      </c>
      <c r="E66" s="79" t="inlineStr">
        <is>
          <t>Daily</t>
        </is>
      </c>
      <c r="F66" s="78" t="n"/>
      <c r="G66" s="85">
        <f>IF(E66="Daily",(C66+D66)/'Q4 Assumptions'!$B$32,0)</f>
        <v/>
      </c>
      <c r="H66" s="85">
        <f>IF(E66="Monthly",C66+D66,0)</f>
        <v/>
      </c>
      <c r="I66" s="52" t="inlineStr"/>
    </row>
    <row r="67">
      <c r="A67" s="56" t="inlineStr">
        <is>
          <t>Capex New Branches</t>
        </is>
      </c>
      <c r="B67" s="56" t="inlineStr">
        <is>
          <t>Investing — out</t>
        </is>
      </c>
      <c r="C67" s="80" t="n">
        <v>-517519.25</v>
      </c>
      <c r="D67" s="80" t="n">
        <v>0</v>
      </c>
      <c r="E67" s="79" t="inlineStr">
        <is>
          <t>Excluded</t>
        </is>
      </c>
      <c r="F67" s="78" t="n"/>
      <c r="G67" s="85">
        <f>IF(E67="Daily",(C67+D67)/'Q4 Assumptions'!$B$32,0)</f>
        <v/>
      </c>
      <c r="H67" s="85">
        <f>IF(E67="Monthly",C67+D67,0)</f>
        <v/>
      </c>
      <c r="I67" s="52" t="inlineStr">
        <is>
          <t>Sep capex (Pasir Gudang/Cheras) one-off. Q4 capex from 'Q4 Outlet Schedule'</t>
        </is>
      </c>
    </row>
    <row r="68">
      <c r="A68" s="56" t="inlineStr">
        <is>
          <t>Placement of Fixed Deposit</t>
        </is>
      </c>
      <c r="B68" s="56" t="inlineStr">
        <is>
          <t>Investing — out</t>
        </is>
      </c>
      <c r="C68" s="80" t="n">
        <v>-2000000</v>
      </c>
      <c r="D68" s="80" t="n">
        <v>0</v>
      </c>
      <c r="E68" s="79" t="inlineStr">
        <is>
          <t>Excluded</t>
        </is>
      </c>
      <c r="F68" s="78" t="n"/>
      <c r="G68" s="85">
        <f>IF(E68="Daily",(C68+D68)/'Q4 Assumptions'!$B$32,0)</f>
        <v/>
      </c>
      <c r="H68" s="85">
        <f>IF(E68="Monthly",C68+D68,0)</f>
        <v/>
      </c>
      <c r="I68" s="52" t="inlineStr">
        <is>
          <t>One-off RM2M FD placement in Sep; FD matures 2027</t>
        </is>
      </c>
    </row>
    <row r="69">
      <c r="A69" s="56" t="inlineStr">
        <is>
          <t>Purchase of investment</t>
        </is>
      </c>
      <c r="B69" s="56" t="inlineStr">
        <is>
          <t>Investing — out</t>
        </is>
      </c>
      <c r="C69" s="80" t="n">
        <v>0</v>
      </c>
      <c r="D69" s="80" t="n">
        <v>0</v>
      </c>
      <c r="E69" s="79" t="inlineStr">
        <is>
          <t>Excluded</t>
        </is>
      </c>
      <c r="F69" s="78" t="n"/>
      <c r="G69" s="85">
        <f>IF(E69="Daily",(C69+D69)/'Q4 Assumptions'!$B$32,0)</f>
        <v/>
      </c>
      <c r="H69" s="85">
        <f>IF(E69="Monthly",C69+D69,0)</f>
        <v/>
      </c>
      <c r="I69" s="52" t="inlineStr">
        <is>
          <t>Q4: Bebeks RM400k, Kopitiam RM350k (events)</t>
        </is>
      </c>
    </row>
    <row r="70">
      <c r="A70" s="56" t="inlineStr">
        <is>
          <t>Issuance of stock</t>
        </is>
      </c>
      <c r="B70" s="56" t="inlineStr">
        <is>
          <t>Financing — in</t>
        </is>
      </c>
      <c r="C70" s="80" t="n">
        <v>0</v>
      </c>
      <c r="D70" s="80" t="n">
        <v>0</v>
      </c>
      <c r="E70" s="79" t="inlineStr">
        <is>
          <t>Excluded</t>
        </is>
      </c>
      <c r="F70" s="78" t="n"/>
      <c r="G70" s="85">
        <f>IF(E70="Daily",(C70+D70)/'Q4 Assumptions'!$B$32,0)</f>
        <v/>
      </c>
      <c r="H70" s="85">
        <f>IF(E70="Monthly",C70+D70,0)</f>
        <v/>
      </c>
      <c r="I70" s="52" t="inlineStr"/>
    </row>
    <row r="71">
      <c r="A71" s="56" t="inlineStr">
        <is>
          <t>Loan received</t>
        </is>
      </c>
      <c r="B71" s="56" t="inlineStr">
        <is>
          <t>Financing — in</t>
        </is>
      </c>
      <c r="C71" s="80" t="n">
        <v>0</v>
      </c>
      <c r="D71" s="80" t="n">
        <v>0</v>
      </c>
      <c r="E71" s="79" t="inlineStr">
        <is>
          <t>Excluded</t>
        </is>
      </c>
      <c r="F71" s="78" t="n"/>
      <c r="G71" s="85">
        <f>IF(E71="Daily",(C71+D71)/'Q4 Assumptions'!$B$32,0)</f>
        <v/>
      </c>
      <c r="H71" s="85">
        <f>IF(E71="Monthly",C71+D71,0)</f>
        <v/>
      </c>
      <c r="I71" s="52" t="inlineStr"/>
    </row>
    <row r="72">
      <c r="A72" s="56" t="inlineStr">
        <is>
          <t>Borrowing</t>
        </is>
      </c>
      <c r="B72" s="56" t="inlineStr">
        <is>
          <t>Financing — in</t>
        </is>
      </c>
      <c r="C72" s="80" t="n">
        <v>0</v>
      </c>
      <c r="D72" s="80" t="n">
        <v>0</v>
      </c>
      <c r="E72" s="79" t="inlineStr">
        <is>
          <t>Excluded</t>
        </is>
      </c>
      <c r="F72" s="78" t="n"/>
      <c r="G72" s="85">
        <f>IF(E72="Daily",(C72+D72)/'Q4 Assumptions'!$B$32,0)</f>
        <v/>
      </c>
      <c r="H72" s="85">
        <f>IF(E72="Monthly",C72+D72,0)</f>
        <v/>
      </c>
      <c r="I72" s="52" t="inlineStr"/>
    </row>
    <row r="73">
      <c r="A73" s="56" t="inlineStr">
        <is>
          <t>Repayment from related parties</t>
        </is>
      </c>
      <c r="B73" s="56" t="inlineStr">
        <is>
          <t>Financing — in</t>
        </is>
      </c>
      <c r="C73" s="80" t="n">
        <v>0</v>
      </c>
      <c r="D73" s="80" t="n">
        <v>0</v>
      </c>
      <c r="E73" s="79" t="inlineStr">
        <is>
          <t>Excluded</t>
        </is>
      </c>
      <c r="F73" s="78" t="n"/>
      <c r="G73" s="85">
        <f>IF(E73="Daily",(C73+D73)/'Q4 Assumptions'!$B$32,0)</f>
        <v/>
      </c>
      <c r="H73" s="85">
        <f>IF(E73="Monthly",C73+D73,0)</f>
        <v/>
      </c>
      <c r="I73" s="52" t="inlineStr"/>
    </row>
    <row r="74">
      <c r="A74" s="56" t="inlineStr">
        <is>
          <t>Repurchase of stock (treasury stock)</t>
        </is>
      </c>
      <c r="B74" s="56" t="inlineStr">
        <is>
          <t>Financing — out</t>
        </is>
      </c>
      <c r="C74" s="80" t="n">
        <v>0</v>
      </c>
      <c r="D74" s="80" t="n">
        <v>0</v>
      </c>
      <c r="E74" s="79" t="inlineStr">
        <is>
          <t>Excluded</t>
        </is>
      </c>
      <c r="F74" s="78" t="n"/>
      <c r="G74" s="85">
        <f>IF(E74="Daily",(C74+D74)/'Q4 Assumptions'!$B$32,0)</f>
        <v/>
      </c>
      <c r="H74" s="85">
        <f>IF(E74="Monthly",C74+D74,0)</f>
        <v/>
      </c>
      <c r="I74" s="52" t="inlineStr"/>
    </row>
    <row r="75">
      <c r="A75" s="56" t="inlineStr">
        <is>
          <t>Purchase of investment (financing)</t>
        </is>
      </c>
      <c r="B75" s="56" t="inlineStr">
        <is>
          <t>Financing — out</t>
        </is>
      </c>
      <c r="C75" s="80" t="n">
        <v>0</v>
      </c>
      <c r="D75" s="80" t="n">
        <v>0</v>
      </c>
      <c r="E75" s="79" t="inlineStr">
        <is>
          <t>Excluded</t>
        </is>
      </c>
      <c r="F75" s="78" t="n"/>
      <c r="G75" s="85">
        <f>IF(E75="Daily",(C75+D75)/'Q4 Assumptions'!$B$32,0)</f>
        <v/>
      </c>
      <c r="H75" s="85">
        <f>IF(E75="Monthly",C75+D75,0)</f>
        <v/>
      </c>
      <c r="I75" s="52" t="inlineStr"/>
    </row>
    <row r="76">
      <c r="A76" s="56" t="inlineStr">
        <is>
          <t>Repayment of loans</t>
        </is>
      </c>
      <c r="B76" s="56" t="inlineStr">
        <is>
          <t>Financing — out</t>
        </is>
      </c>
      <c r="C76" s="80" t="n">
        <v>-138136.29</v>
      </c>
      <c r="D76" s="80" t="n">
        <v>0</v>
      </c>
      <c r="E76" s="79" t="inlineStr">
        <is>
          <t>Monthly</t>
        </is>
      </c>
      <c r="F76" s="78" t="n">
        <v>5</v>
      </c>
      <c r="G76" s="85">
        <f>IF(E76="Daily",(C76+D76)/'Q4 Assumptions'!$B$32,0)</f>
        <v/>
      </c>
      <c r="H76" s="85">
        <f>IF(E76="Monthly",C76+D76,0)</f>
        <v/>
      </c>
      <c r="I76" s="52" t="inlineStr">
        <is>
          <t>Monthly loan / hire-purchase instalments</t>
        </is>
      </c>
    </row>
    <row r="77">
      <c r="A77" s="56" t="inlineStr">
        <is>
          <t>Dividends</t>
        </is>
      </c>
      <c r="B77" s="56" t="inlineStr">
        <is>
          <t>Financing — out</t>
        </is>
      </c>
      <c r="C77" s="80" t="n">
        <v>0</v>
      </c>
      <c r="D77" s="80" t="n">
        <v>0</v>
      </c>
      <c r="E77" s="79" t="inlineStr">
        <is>
          <t>Excluded</t>
        </is>
      </c>
      <c r="F77" s="78" t="n"/>
      <c r="G77" s="85">
        <f>IF(E77="Daily",(C77+D77)/'Q4 Assumptions'!$B$32,0)</f>
        <v/>
      </c>
      <c r="H77" s="85">
        <f>IF(E77="Monthly",C77+D77,0)</f>
        <v/>
      </c>
      <c r="I77" s="52" t="inlineStr"/>
    </row>
    <row r="78">
      <c r="A78" s="56" t="inlineStr">
        <is>
          <t>Advance to related parties</t>
        </is>
      </c>
      <c r="B78" s="56" t="inlineStr">
        <is>
          <t>Financing — out</t>
        </is>
      </c>
      <c r="C78" s="80" t="n">
        <v>-192684.6</v>
      </c>
      <c r="D78" s="80" t="n">
        <v>0</v>
      </c>
      <c r="E78" s="86" t="inlineStr">
        <is>
          <t>Monthly</t>
        </is>
      </c>
      <c r="F78" s="78" t="n">
        <v>15</v>
      </c>
      <c r="G78" s="85">
        <f>IF(E78="Daily",(C78+D78)/'Q4 Assumptions'!$B$32,0)</f>
        <v/>
      </c>
      <c r="H78" s="85">
        <f>IF(E78="Monthly",C78+D78,0)</f>
        <v/>
      </c>
      <c r="I78" s="52" t="inlineStr">
        <is>
          <t>ASSUMPTION (prudent): Sep level repeats monthly. Set Basis to Excluded if it was one-off</t>
        </is>
      </c>
    </row>
    <row r="79">
      <c r="A79" s="56" t="inlineStr">
        <is>
          <t>Repayment to related parties</t>
        </is>
      </c>
      <c r="B79" s="56" t="inlineStr">
        <is>
          <t>Financing — out</t>
        </is>
      </c>
      <c r="C79" s="80" t="n">
        <v>0</v>
      </c>
      <c r="D79" s="80" t="n">
        <v>0</v>
      </c>
      <c r="E79" s="79" t="inlineStr">
        <is>
          <t>Excluded</t>
        </is>
      </c>
      <c r="F79" s="78" t="n"/>
      <c r="G79" s="85">
        <f>IF(E79="Daily",(C79+D79)/'Q4 Assumptions'!$B$32,0)</f>
        <v/>
      </c>
      <c r="H79" s="85">
        <f>IF(E79="Monthly",C79+D79,0)</f>
        <v/>
      </c>
      <c r="I79" s="52" t="inlineStr"/>
    </row>
    <row r="80">
      <c r="A80" s="56" t="inlineStr">
        <is>
          <t>Pending</t>
        </is>
      </c>
      <c r="B80" s="56" t="inlineStr">
        <is>
          <t>Financing — out</t>
        </is>
      </c>
      <c r="C80" s="80" t="n">
        <v>1470.3</v>
      </c>
      <c r="D80" s="80" t="n">
        <v>0</v>
      </c>
      <c r="E80" s="79" t="inlineStr">
        <is>
          <t>Excluded</t>
        </is>
      </c>
      <c r="F80" s="78" t="n"/>
      <c r="G80" s="85">
        <f>IF(E80="Daily",(C80+D80)/'Q4 Assumptions'!$B$32,0)</f>
        <v/>
      </c>
      <c r="H80" s="85">
        <f>IF(E80="Monthly",C80+D80,0)</f>
        <v/>
      </c>
      <c r="I80" s="52" t="inlineStr">
        <is>
          <t>Sep reconciling item</t>
        </is>
      </c>
    </row>
    <row r="81">
      <c r="A81" s="52" t="inlineStr">
        <is>
          <t>Check: Sep net cash flow (should be −987,655.35)</t>
        </is>
      </c>
      <c r="C81" s="87">
        <f>SUM(C36:C80)</f>
        <v/>
      </c>
      <c r="D81" s="87">
        <f>C81-('Sep30 Bridge'!D8-'Sep30 Bridge'!D6-'Sep30 Bridge'!D7-('Sep30 Bridge'!E8-'Sep30 Bridge'!E6-'Sep30 Bridge'!E7))</f>
        <v/>
      </c>
      <c r="I81" s="52" t="inlineStr">
        <is>
          <t>Column D = difference vs Sep30 Bridge 1–28 Sep net (should be 0)</t>
        </is>
      </c>
    </row>
    <row r="83">
      <c r="A83" s="64" t="inlineStr">
        <is>
          <t>DATED CASH EVENTS — one-offs you gave me + recurring monthly items (edit dates / amounts here; outflows negative)</t>
        </is>
      </c>
      <c r="B83" s="65" t="n"/>
      <c r="C83" s="65" t="n"/>
      <c r="D83" s="65" t="n"/>
      <c r="E83" s="65" t="n"/>
      <c r="F83" s="65" t="n"/>
      <c r="G83" s="65" t="n"/>
      <c r="H83" s="65" t="n"/>
      <c r="I83" s="65" t="n"/>
    </row>
    <row r="84">
      <c r="A84" s="84" t="inlineStr">
        <is>
          <t>Description</t>
        </is>
      </c>
      <c r="B84" s="84" t="inlineStr">
        <is>
          <t>Date</t>
        </is>
      </c>
      <c r="C84" s="84" t="inlineStr">
        <is>
          <t>Amount (RM)</t>
        </is>
      </c>
      <c r="D84" s="84" t="inlineStr">
        <is>
          <t>Template line</t>
        </is>
      </c>
      <c r="E84" s="84" t="inlineStr">
        <is>
          <t>Bank</t>
        </is>
      </c>
      <c r="F84" s="84" t="inlineStr">
        <is>
          <t>+2%/outlet</t>
        </is>
      </c>
      <c r="G84" s="88" t="inlineStr">
        <is>
          <t>Source / note</t>
        </is>
      </c>
      <c r="H84" s="1" t="n"/>
      <c r="I84" s="1" t="n"/>
    </row>
    <row r="85">
      <c r="A85" s="56" t="inlineStr">
        <is>
          <t>Licensing package — Petaling Jaya balance (invoice 655k − 400k received)</t>
        </is>
      </c>
      <c r="B85" s="76" t="n">
        <v>46310</v>
      </c>
      <c r="C85" s="85">
        <f>655000-400000</f>
        <v/>
      </c>
      <c r="D85" s="79" t="inlineStr">
        <is>
          <t>Licensing package</t>
        </is>
      </c>
      <c r="E85" s="79" t="inlineStr">
        <is>
          <t>RHB</t>
        </is>
      </c>
      <c r="F85" s="79" t="n"/>
      <c r="G85" s="52" t="inlineStr">
        <is>
          <t>Your items 12 &amp; 13. RHB, like the 23 Sep PJ receipt. Mid-Oct assumed</t>
        </is>
      </c>
    </row>
    <row r="86">
      <c r="A86" s="56" t="inlineStr">
        <is>
          <t>Investor fund #1</t>
        </is>
      </c>
      <c r="B86" s="76" t="n">
        <v>46310</v>
      </c>
      <c r="C86" s="80" t="n">
        <v>450000</v>
      </c>
      <c r="D86" s="79" t="inlineStr">
        <is>
          <t>Collection of Investor funds</t>
        </is>
      </c>
      <c r="E86" s="79" t="inlineStr">
        <is>
          <t>Maybank</t>
        </is>
      </c>
      <c r="F86" s="79" t="n"/>
      <c r="G86" s="52" t="inlineStr">
        <is>
          <t>Your item 12. Mid-Oct assumed</t>
        </is>
      </c>
    </row>
    <row r="87">
      <c r="A87" s="56" t="inlineStr">
        <is>
          <t>Investor fund #2</t>
        </is>
      </c>
      <c r="B87" s="76" t="n">
        <v>46310</v>
      </c>
      <c r="C87" s="80" t="n">
        <v>200000</v>
      </c>
      <c r="D87" s="79" t="inlineStr">
        <is>
          <t>Collection of Investor funds</t>
        </is>
      </c>
      <c r="E87" s="79" t="inlineStr">
        <is>
          <t>Maybank</t>
        </is>
      </c>
      <c r="F87" s="79" t="n"/>
      <c r="G87" s="52" t="inlineStr">
        <is>
          <t>Your item 12. Mid-Oct assumed</t>
        </is>
      </c>
    </row>
    <row r="88">
      <c r="A88" s="56" t="inlineStr">
        <is>
          <t>Foreign worker expense</t>
        </is>
      </c>
      <c r="B88" s="76" t="n">
        <v>46310</v>
      </c>
      <c r="C88" s="80" t="n">
        <v>-920000</v>
      </c>
      <c r="D88" s="79" t="inlineStr">
        <is>
          <t>Wage expenses</t>
        </is>
      </c>
      <c r="E88" s="79" t="inlineStr">
        <is>
          <t>Maybank</t>
        </is>
      </c>
      <c r="F88" s="79" t="n"/>
      <c r="G88" s="52" t="inlineStr">
        <is>
          <t>Your item 7</t>
        </is>
      </c>
    </row>
    <row r="89">
      <c r="A89" s="56" t="inlineStr">
        <is>
          <t>Investment — Bebeks</t>
        </is>
      </c>
      <c r="B89" s="76" t="n">
        <v>46310</v>
      </c>
      <c r="C89" s="80" t="n">
        <v>-400000</v>
      </c>
      <c r="D89" s="79" t="inlineStr">
        <is>
          <t>Purchase of investment</t>
        </is>
      </c>
      <c r="E89" s="79" t="inlineStr">
        <is>
          <t>Maybank</t>
        </is>
      </c>
      <c r="F89" s="79" t="n"/>
      <c r="G89" s="52" t="inlineStr">
        <is>
          <t>Updated: RM400k in October. Mid-Oct assumed</t>
        </is>
      </c>
    </row>
    <row r="90">
      <c r="A90" s="56" t="inlineStr">
        <is>
          <t>Deposit — new outlet 1</t>
        </is>
      </c>
      <c r="B90" s="76" t="n">
        <v>46304</v>
      </c>
      <c r="C90" s="77">
        <f>-'Q4 Assumptions'!$B$24</f>
        <v/>
      </c>
      <c r="D90" s="79" t="inlineStr">
        <is>
          <t>Deposit</t>
        </is>
      </c>
      <c r="E90" s="79" t="inlineStr">
        <is>
          <t>Maybank</t>
        </is>
      </c>
      <c r="F90" s="79" t="n"/>
      <c r="G90" s="52" t="inlineStr">
        <is>
          <t>Your item 14, spread Oct–Nov</t>
        </is>
      </c>
    </row>
    <row r="91">
      <c r="A91" s="56" t="inlineStr">
        <is>
          <t>Deposit — new outlet 2</t>
        </is>
      </c>
      <c r="B91" s="76" t="n">
        <v>46318</v>
      </c>
      <c r="C91" s="77">
        <f>-'Q4 Assumptions'!$B$24</f>
        <v/>
      </c>
      <c r="D91" s="79" t="inlineStr">
        <is>
          <t>Deposit</t>
        </is>
      </c>
      <c r="E91" s="79" t="inlineStr">
        <is>
          <t>Maybank</t>
        </is>
      </c>
      <c r="F91" s="79" t="n"/>
      <c r="G91" s="52" t="inlineStr"/>
    </row>
    <row r="92">
      <c r="A92" s="56" t="inlineStr">
        <is>
          <t>Deposit — new outlet 3</t>
        </is>
      </c>
      <c r="B92" s="76" t="n">
        <v>46332</v>
      </c>
      <c r="C92" s="77">
        <f>-'Q4 Assumptions'!$B$24</f>
        <v/>
      </c>
      <c r="D92" s="79" t="inlineStr">
        <is>
          <t>Deposit</t>
        </is>
      </c>
      <c r="E92" s="79" t="inlineStr">
        <is>
          <t>Maybank</t>
        </is>
      </c>
      <c r="F92" s="79" t="n"/>
      <c r="G92" s="52" t="inlineStr"/>
    </row>
    <row r="93">
      <c r="A93" s="56" t="inlineStr">
        <is>
          <t>Deposit — new outlet 4</t>
        </is>
      </c>
      <c r="B93" s="76" t="n">
        <v>46342</v>
      </c>
      <c r="C93" s="77">
        <f>-'Q4 Assumptions'!$B$24</f>
        <v/>
      </c>
      <c r="D93" s="79" t="inlineStr">
        <is>
          <t>Deposit</t>
        </is>
      </c>
      <c r="E93" s="79" t="inlineStr">
        <is>
          <t>Maybank</t>
        </is>
      </c>
      <c r="F93" s="79" t="n"/>
      <c r="G93" s="52" t="inlineStr"/>
    </row>
    <row r="94">
      <c r="A94" s="56" t="inlineStr">
        <is>
          <t>Deposit — new outlet 5</t>
        </is>
      </c>
      <c r="B94" s="76" t="n">
        <v>46353</v>
      </c>
      <c r="C94" s="77">
        <f>-'Q4 Assumptions'!$B$24</f>
        <v/>
      </c>
      <c r="D94" s="79" t="inlineStr">
        <is>
          <t>Deposit</t>
        </is>
      </c>
      <c r="E94" s="79" t="inlineStr">
        <is>
          <t>Maybank</t>
        </is>
      </c>
      <c r="F94" s="79" t="n"/>
      <c r="G94" s="52" t="inlineStr"/>
    </row>
    <row r="95">
      <c r="A95" s="56" t="inlineStr">
        <is>
          <t>Wages first week — October</t>
        </is>
      </c>
      <c r="B95" s="76" t="n">
        <v>46298</v>
      </c>
      <c r="C95" s="77">
        <f>-'Q4 Assumptions'!$B$30</f>
        <v/>
      </c>
      <c r="D95" s="79" t="inlineStr">
        <is>
          <t>Wage expenses</t>
        </is>
      </c>
      <c r="E95" s="79" t="inlineStr">
        <is>
          <t>Maybank</t>
        </is>
      </c>
      <c r="F95" s="79" t="inlineStr">
        <is>
          <t>Y</t>
        </is>
      </c>
      <c r="G95" s="52" t="inlineStr">
        <is>
          <t>RM1M first week of month</t>
        </is>
      </c>
    </row>
    <row r="96">
      <c r="A96" s="56" t="inlineStr">
        <is>
          <t>Wages first week — November</t>
        </is>
      </c>
      <c r="B96" s="76" t="n">
        <v>46329</v>
      </c>
      <c r="C96" s="77">
        <f>-'Q4 Assumptions'!$B$30</f>
        <v/>
      </c>
      <c r="D96" s="79" t="inlineStr">
        <is>
          <t>Wage expenses</t>
        </is>
      </c>
      <c r="E96" s="79" t="inlineStr">
        <is>
          <t>Maybank</t>
        </is>
      </c>
      <c r="F96" s="79" t="inlineStr">
        <is>
          <t>Y</t>
        </is>
      </c>
      <c r="G96" s="52" t="inlineStr"/>
    </row>
    <row r="97">
      <c r="A97" s="56" t="inlineStr">
        <is>
          <t>Wages first week — December</t>
        </is>
      </c>
      <c r="B97" s="76" t="n">
        <v>46359</v>
      </c>
      <c r="C97" s="77">
        <f>-'Q4 Assumptions'!$B$30</f>
        <v/>
      </c>
      <c r="D97" s="79" t="inlineStr">
        <is>
          <t>Wage expenses</t>
        </is>
      </c>
      <c r="E97" s="79" t="inlineStr">
        <is>
          <t>Maybank</t>
        </is>
      </c>
      <c r="F97" s="79" t="inlineStr">
        <is>
          <t>Y</t>
        </is>
      </c>
      <c r="G97" s="52" t="inlineStr"/>
    </row>
    <row r="98">
      <c r="A98" s="56" t="inlineStr">
        <is>
          <t>Payroll 25th — October</t>
        </is>
      </c>
      <c r="B98" s="76" t="n">
        <v>46320</v>
      </c>
      <c r="C98" s="77">
        <f>-'Q4 Assumptions'!$B$28</f>
        <v/>
      </c>
      <c r="D98" s="79" t="inlineStr">
        <is>
          <t>Wage expenses</t>
        </is>
      </c>
      <c r="E98" s="79" t="inlineStr">
        <is>
          <t>RHB</t>
        </is>
      </c>
      <c r="F98" s="79" t="inlineStr">
        <is>
          <t>Y</t>
        </is>
      </c>
      <c r="G98" s="52" t="inlineStr">
        <is>
          <t>RM450k–500k week of the 25th</t>
        </is>
      </c>
    </row>
    <row r="99">
      <c r="A99" s="56" t="inlineStr">
        <is>
          <t>Payroll 25th — November</t>
        </is>
      </c>
      <c r="B99" s="76" t="n">
        <v>46351</v>
      </c>
      <c r="C99" s="77">
        <f>-'Q4 Assumptions'!$B$28</f>
        <v/>
      </c>
      <c r="D99" s="79" t="inlineStr">
        <is>
          <t>Wage expenses</t>
        </is>
      </c>
      <c r="E99" s="79" t="inlineStr">
        <is>
          <t>RHB</t>
        </is>
      </c>
      <c r="F99" s="79" t="inlineStr">
        <is>
          <t>Y</t>
        </is>
      </c>
      <c r="G99" s="52" t="inlineStr"/>
    </row>
    <row r="100">
      <c r="A100" s="56" t="inlineStr">
        <is>
          <t>Payroll 25th — December</t>
        </is>
      </c>
      <c r="B100" s="76" t="n">
        <v>46380</v>
      </c>
      <c r="C100" s="77">
        <f>-'Q4 Assumptions'!$B$28</f>
        <v/>
      </c>
      <c r="D100" s="79" t="inlineStr">
        <is>
          <t>Wage expenses</t>
        </is>
      </c>
      <c r="E100" s="79" t="inlineStr">
        <is>
          <t>RHB</t>
        </is>
      </c>
      <c r="F100" s="79" t="inlineStr">
        <is>
          <t>Y</t>
        </is>
      </c>
      <c r="G100" s="52" t="inlineStr">
        <is>
          <t>24 Dec (25 Dec public holiday)</t>
        </is>
      </c>
    </row>
    <row r="101">
      <c r="A101" s="56" t="inlineStr">
        <is>
          <t>SST Sep–Oct 2026</t>
        </is>
      </c>
      <c r="B101" s="76" t="n">
        <v>46356</v>
      </c>
      <c r="C101" s="89">
        <f>-'Remaining Payments'!E30</f>
        <v/>
      </c>
      <c r="D101" s="79" t="inlineStr">
        <is>
          <t>SST</t>
        </is>
      </c>
      <c r="E101" s="79" t="inlineStr">
        <is>
          <t>Maybank</t>
        </is>
      </c>
      <c r="F101" s="79" t="n"/>
      <c r="G101" s="52" t="inlineStr">
        <is>
          <t>ASSUMPTION: bi-monthly SST, same as Jul–Aug (paid 30 Sep); due end of following month</t>
        </is>
      </c>
    </row>
    <row r="102">
      <c r="A102" s="56" t="inlineStr">
        <is>
          <t>Foreign worker expense</t>
        </is>
      </c>
      <c r="B102" s="76" t="n">
        <v>46371</v>
      </c>
      <c r="C102" s="80" t="n">
        <v>-200000</v>
      </c>
      <c r="D102" s="79" t="inlineStr">
        <is>
          <t>Wage expenses</t>
        </is>
      </c>
      <c r="E102" s="79" t="inlineStr">
        <is>
          <t>Maybank</t>
        </is>
      </c>
      <c r="F102" s="79" t="n"/>
      <c r="G102" s="52" t="inlineStr">
        <is>
          <t>Your item 7</t>
        </is>
      </c>
    </row>
    <row r="103">
      <c r="A103" s="56" t="inlineStr">
        <is>
          <t>Staff bonus</t>
        </is>
      </c>
      <c r="B103" s="76" t="n">
        <v>46387</v>
      </c>
      <c r="C103" s="80" t="n">
        <v>-300000</v>
      </c>
      <c r="D103" s="79" t="inlineStr">
        <is>
          <t>Wage expenses</t>
        </is>
      </c>
      <c r="E103" s="79" t="inlineStr">
        <is>
          <t>RHB</t>
        </is>
      </c>
      <c r="F103" s="79" t="n"/>
      <c r="G103" s="52" t="inlineStr">
        <is>
          <t>Your item 8 (paid with payroll from RHB)</t>
        </is>
      </c>
    </row>
    <row r="104">
      <c r="A104" s="56" t="inlineStr">
        <is>
          <t>Investment — Kopitiam</t>
        </is>
      </c>
      <c r="B104" s="76" t="n">
        <v>46387</v>
      </c>
      <c r="C104" s="80" t="n">
        <v>-350000</v>
      </c>
      <c r="D104" s="79" t="inlineStr">
        <is>
          <t>Purchase of investment</t>
        </is>
      </c>
      <c r="E104" s="79" t="inlineStr">
        <is>
          <t>Maybank</t>
        </is>
      </c>
      <c r="F104" s="79" t="n"/>
      <c r="G104" s="52" t="inlineStr">
        <is>
          <t>Your item 16</t>
        </is>
      </c>
    </row>
    <row r="105">
      <c r="A105" s="56" t="inlineStr">
        <is>
          <t>Royalty — Oct (recurring)</t>
        </is>
      </c>
      <c r="B105" s="66">
        <f>DATE(2026,10,$F$39)</f>
        <v/>
      </c>
      <c r="C105" s="85">
        <f>$H$39</f>
        <v/>
      </c>
      <c r="D105" s="79" t="inlineStr">
        <is>
          <t>Royalty</t>
        </is>
      </c>
      <c r="E105" s="79" t="inlineStr">
        <is>
          <t>Maybank</t>
        </is>
      </c>
      <c r="F105" s="79" t="n"/>
      <c r="G105" s="52" t="inlineStr">
        <is>
          <t>From category table</t>
        </is>
      </c>
    </row>
    <row r="106">
      <c r="A106" s="56" t="inlineStr">
        <is>
          <t>Royalty — Nov (recurring)</t>
        </is>
      </c>
      <c r="B106" s="66">
        <f>DATE(2026,11,$F$39)</f>
        <v/>
      </c>
      <c r="C106" s="85">
        <f>$H$39</f>
        <v/>
      </c>
      <c r="D106" s="79" t="inlineStr">
        <is>
          <t>Royalty</t>
        </is>
      </c>
      <c r="E106" s="79" t="inlineStr">
        <is>
          <t>Maybank</t>
        </is>
      </c>
      <c r="F106" s="79" t="n"/>
      <c r="G106" s="52" t="inlineStr">
        <is>
          <t>From category table</t>
        </is>
      </c>
    </row>
    <row r="107">
      <c r="A107" s="56" t="inlineStr">
        <is>
          <t>Royalty — Dec (recurring)</t>
        </is>
      </c>
      <c r="B107" s="66">
        <f>DATE(2026,12,$F$39)</f>
        <v/>
      </c>
      <c r="C107" s="85">
        <f>$H$39</f>
        <v/>
      </c>
      <c r="D107" s="79" t="inlineStr">
        <is>
          <t>Royalty</t>
        </is>
      </c>
      <c r="E107" s="79" t="inlineStr">
        <is>
          <t>Maybank</t>
        </is>
      </c>
      <c r="F107" s="79" t="n"/>
      <c r="G107" s="52" t="inlineStr">
        <is>
          <t>From category table</t>
        </is>
      </c>
    </row>
    <row r="108">
      <c r="A108" s="56" t="inlineStr">
        <is>
          <t>Profit sharing — Oct (recurring)</t>
        </is>
      </c>
      <c r="B108" s="66">
        <f>DATE(2026,10,$F$47)</f>
        <v/>
      </c>
      <c r="C108" s="85">
        <f>$H$47</f>
        <v/>
      </c>
      <c r="D108" s="79" t="inlineStr">
        <is>
          <t>Profit sharing</t>
        </is>
      </c>
      <c r="E108" s="79" t="inlineStr">
        <is>
          <t>Maybank</t>
        </is>
      </c>
      <c r="F108" s="79" t="n"/>
      <c r="G108" s="52" t="inlineStr">
        <is>
          <t>From category table</t>
        </is>
      </c>
    </row>
    <row r="109">
      <c r="A109" s="56" t="inlineStr">
        <is>
          <t>Profit sharing — Nov (recurring)</t>
        </is>
      </c>
      <c r="B109" s="66">
        <f>DATE(2026,11,$F$47)</f>
        <v/>
      </c>
      <c r="C109" s="85">
        <f>$H$47</f>
        <v/>
      </c>
      <c r="D109" s="79" t="inlineStr">
        <is>
          <t>Profit sharing</t>
        </is>
      </c>
      <c r="E109" s="79" t="inlineStr">
        <is>
          <t>Maybank</t>
        </is>
      </c>
      <c r="F109" s="79" t="n"/>
      <c r="G109" s="52" t="inlineStr">
        <is>
          <t>From category table</t>
        </is>
      </c>
    </row>
    <row r="110">
      <c r="A110" s="56" t="inlineStr">
        <is>
          <t>Profit sharing — Dec (recurring)</t>
        </is>
      </c>
      <c r="B110" s="66">
        <f>DATE(2026,12,$F$47)</f>
        <v/>
      </c>
      <c r="C110" s="85">
        <f>$H$47</f>
        <v/>
      </c>
      <c r="D110" s="79" t="inlineStr">
        <is>
          <t>Profit sharing</t>
        </is>
      </c>
      <c r="E110" s="79" t="inlineStr">
        <is>
          <t>Maybank</t>
        </is>
      </c>
      <c r="F110" s="79" t="n"/>
      <c r="G110" s="52" t="inlineStr">
        <is>
          <t>From category table</t>
        </is>
      </c>
    </row>
    <row r="111">
      <c r="A111" s="56" t="inlineStr">
        <is>
          <t>Income taxes — Oct (recurring)</t>
        </is>
      </c>
      <c r="B111" s="66">
        <f>DATE(2026,10,$F$50)</f>
        <v/>
      </c>
      <c r="C111" s="85">
        <f>$H$50</f>
        <v/>
      </c>
      <c r="D111" s="79" t="inlineStr">
        <is>
          <t>Income taxes</t>
        </is>
      </c>
      <c r="E111" s="79" t="inlineStr">
        <is>
          <t>Maybank</t>
        </is>
      </c>
      <c r="F111" s="79" t="n"/>
      <c r="G111" s="52" t="inlineStr">
        <is>
          <t>From category table</t>
        </is>
      </c>
    </row>
    <row r="112">
      <c r="A112" s="56" t="inlineStr">
        <is>
          <t>Income taxes — Nov (recurring)</t>
        </is>
      </c>
      <c r="B112" s="66">
        <f>DATE(2026,11,$F$50)</f>
        <v/>
      </c>
      <c r="C112" s="85">
        <f>$H$50</f>
        <v/>
      </c>
      <c r="D112" s="79" t="inlineStr">
        <is>
          <t>Income taxes</t>
        </is>
      </c>
      <c r="E112" s="79" t="inlineStr">
        <is>
          <t>Maybank</t>
        </is>
      </c>
      <c r="F112" s="79" t="n"/>
      <c r="G112" s="52" t="inlineStr">
        <is>
          <t>From category table</t>
        </is>
      </c>
    </row>
    <row r="113">
      <c r="A113" s="56" t="inlineStr">
        <is>
          <t>Income taxes — Dec (recurring)</t>
        </is>
      </c>
      <c r="B113" s="66">
        <f>DATE(2026,12,$F$50)</f>
        <v/>
      </c>
      <c r="C113" s="85">
        <f>$H$50</f>
        <v/>
      </c>
      <c r="D113" s="79" t="inlineStr">
        <is>
          <t>Income taxes</t>
        </is>
      </c>
      <c r="E113" s="79" t="inlineStr">
        <is>
          <t>Maybank</t>
        </is>
      </c>
      <c r="F113" s="79" t="n"/>
      <c r="G113" s="52" t="inlineStr">
        <is>
          <t>From category table</t>
        </is>
      </c>
    </row>
    <row r="114">
      <c r="A114" s="56" t="inlineStr">
        <is>
          <t>Credit Card — Oct (recurring)</t>
        </is>
      </c>
      <c r="B114" s="66">
        <f>DATE(2026,10,$F$53)</f>
        <v/>
      </c>
      <c r="C114" s="85">
        <f>$H$53</f>
        <v/>
      </c>
      <c r="D114" s="79" t="inlineStr">
        <is>
          <t>Credit Card</t>
        </is>
      </c>
      <c r="E114" s="79" t="inlineStr">
        <is>
          <t>Maybank</t>
        </is>
      </c>
      <c r="F114" s="79" t="n"/>
      <c r="G114" s="52" t="inlineStr">
        <is>
          <t>From category table</t>
        </is>
      </c>
    </row>
    <row r="115">
      <c r="A115" s="56" t="inlineStr">
        <is>
          <t>Credit Card — Nov (recurring)</t>
        </is>
      </c>
      <c r="B115" s="66">
        <f>DATE(2026,11,$F$53)</f>
        <v/>
      </c>
      <c r="C115" s="85">
        <f>$H$53</f>
        <v/>
      </c>
      <c r="D115" s="79" t="inlineStr">
        <is>
          <t>Credit Card</t>
        </is>
      </c>
      <c r="E115" s="79" t="inlineStr">
        <is>
          <t>Maybank</t>
        </is>
      </c>
      <c r="F115" s="79" t="n"/>
      <c r="G115" s="52" t="inlineStr">
        <is>
          <t>From category table</t>
        </is>
      </c>
    </row>
    <row r="116">
      <c r="A116" s="56" t="inlineStr">
        <is>
          <t>Credit Card — Dec (recurring)</t>
        </is>
      </c>
      <c r="B116" s="66">
        <f>DATE(2026,12,$F$53)</f>
        <v/>
      </c>
      <c r="C116" s="85">
        <f>$H$53</f>
        <v/>
      </c>
      <c r="D116" s="79" t="inlineStr">
        <is>
          <t>Credit Card</t>
        </is>
      </c>
      <c r="E116" s="79" t="inlineStr">
        <is>
          <t>Maybank</t>
        </is>
      </c>
      <c r="F116" s="79" t="n"/>
      <c r="G116" s="52" t="inlineStr">
        <is>
          <t>From category table</t>
        </is>
      </c>
    </row>
    <row r="117">
      <c r="A117" s="56" t="inlineStr">
        <is>
          <t>Rental — Oct (recurring)</t>
        </is>
      </c>
      <c r="B117" s="66">
        <f>DATE(2026,10,$F$57)</f>
        <v/>
      </c>
      <c r="C117" s="85">
        <f>$H$57</f>
        <v/>
      </c>
      <c r="D117" s="79" t="inlineStr">
        <is>
          <t>Rental</t>
        </is>
      </c>
      <c r="E117" s="79" t="inlineStr">
        <is>
          <t>Maybank</t>
        </is>
      </c>
      <c r="F117" s="79" t="n"/>
      <c r="G117" s="52" t="inlineStr">
        <is>
          <t>From category table</t>
        </is>
      </c>
    </row>
    <row r="118">
      <c r="A118" s="56" t="inlineStr">
        <is>
          <t>Rental — Nov (recurring)</t>
        </is>
      </c>
      <c r="B118" s="66">
        <f>DATE(2026,11,$F$57)</f>
        <v/>
      </c>
      <c r="C118" s="85">
        <f>$H$57</f>
        <v/>
      </c>
      <c r="D118" s="79" t="inlineStr">
        <is>
          <t>Rental</t>
        </is>
      </c>
      <c r="E118" s="79" t="inlineStr">
        <is>
          <t>Maybank</t>
        </is>
      </c>
      <c r="F118" s="79" t="n"/>
      <c r="G118" s="52" t="inlineStr">
        <is>
          <t>From category table</t>
        </is>
      </c>
    </row>
    <row r="119">
      <c r="A119" s="56" t="inlineStr">
        <is>
          <t>Rental — Dec (recurring)</t>
        </is>
      </c>
      <c r="B119" s="66">
        <f>DATE(2026,12,$F$57)</f>
        <v/>
      </c>
      <c r="C119" s="85">
        <f>$H$57</f>
        <v/>
      </c>
      <c r="D119" s="79" t="inlineStr">
        <is>
          <t>Rental</t>
        </is>
      </c>
      <c r="E119" s="79" t="inlineStr">
        <is>
          <t>Maybank</t>
        </is>
      </c>
      <c r="F119" s="79" t="n"/>
      <c r="G119" s="52" t="inlineStr">
        <is>
          <t>From category table</t>
        </is>
      </c>
    </row>
    <row r="120">
      <c r="A120" s="56" t="inlineStr">
        <is>
          <t>Interest received from Maybank pooled — Oct (recurring)</t>
        </is>
      </c>
      <c r="B120" s="66">
        <f>DATE(2026,10,$F$64)</f>
        <v/>
      </c>
      <c r="C120" s="85">
        <f>$H$64</f>
        <v/>
      </c>
      <c r="D120" s="79" t="inlineStr">
        <is>
          <t>Interest received from Maybank pooled</t>
        </is>
      </c>
      <c r="E120" s="79" t="inlineStr">
        <is>
          <t>Maybank</t>
        </is>
      </c>
      <c r="F120" s="79" t="n"/>
      <c r="G120" s="52" t="inlineStr">
        <is>
          <t>From category table</t>
        </is>
      </c>
    </row>
    <row r="121">
      <c r="A121" s="56" t="inlineStr">
        <is>
          <t>Interest received from Maybank pooled — Nov (recurring)</t>
        </is>
      </c>
      <c r="B121" s="66">
        <f>DATE(2026,11,$F$64)</f>
        <v/>
      </c>
      <c r="C121" s="85">
        <f>$H$64</f>
        <v/>
      </c>
      <c r="D121" s="79" t="inlineStr">
        <is>
          <t>Interest received from Maybank pooled</t>
        </is>
      </c>
      <c r="E121" s="79" t="inlineStr">
        <is>
          <t>Maybank</t>
        </is>
      </c>
      <c r="F121" s="79" t="n"/>
      <c r="G121" s="52" t="inlineStr">
        <is>
          <t>From category table</t>
        </is>
      </c>
    </row>
    <row r="122">
      <c r="A122" s="56" t="inlineStr">
        <is>
          <t>Interest received from Maybank pooled — Dec (recurring)</t>
        </is>
      </c>
      <c r="B122" s="66">
        <f>DATE(2026,12,$F$64)</f>
        <v/>
      </c>
      <c r="C122" s="85">
        <f>$H$64</f>
        <v/>
      </c>
      <c r="D122" s="79" t="inlineStr">
        <is>
          <t>Interest received from Maybank pooled</t>
        </is>
      </c>
      <c r="E122" s="79" t="inlineStr">
        <is>
          <t>Maybank</t>
        </is>
      </c>
      <c r="F122" s="79" t="n"/>
      <c r="G122" s="52" t="inlineStr">
        <is>
          <t>From category table</t>
        </is>
      </c>
    </row>
    <row r="123">
      <c r="A123" s="56" t="inlineStr">
        <is>
          <t>Repayment of loans — Oct (recurring)</t>
        </is>
      </c>
      <c r="B123" s="66">
        <f>DATE(2026,10,$F$76)</f>
        <v/>
      </c>
      <c r="C123" s="85">
        <f>$H$76</f>
        <v/>
      </c>
      <c r="D123" s="79" t="inlineStr">
        <is>
          <t>Repayment of loans</t>
        </is>
      </c>
      <c r="E123" s="79" t="inlineStr">
        <is>
          <t>Maybank</t>
        </is>
      </c>
      <c r="F123" s="79" t="n"/>
      <c r="G123" s="52" t="inlineStr">
        <is>
          <t>From category table</t>
        </is>
      </c>
    </row>
    <row r="124">
      <c r="A124" s="56" t="inlineStr">
        <is>
          <t>Repayment of loans — Nov (recurring)</t>
        </is>
      </c>
      <c r="B124" s="66">
        <f>DATE(2026,11,$F$76)</f>
        <v/>
      </c>
      <c r="C124" s="85">
        <f>$H$76</f>
        <v/>
      </c>
      <c r="D124" s="79" t="inlineStr">
        <is>
          <t>Repayment of loans</t>
        </is>
      </c>
      <c r="E124" s="79" t="inlineStr">
        <is>
          <t>Maybank</t>
        </is>
      </c>
      <c r="F124" s="79" t="n"/>
      <c r="G124" s="52" t="inlineStr">
        <is>
          <t>From category table</t>
        </is>
      </c>
    </row>
    <row r="125">
      <c r="A125" s="56" t="inlineStr">
        <is>
          <t>Repayment of loans — Dec (recurring)</t>
        </is>
      </c>
      <c r="B125" s="66">
        <f>DATE(2026,12,$F$76)</f>
        <v/>
      </c>
      <c r="C125" s="85">
        <f>$H$76</f>
        <v/>
      </c>
      <c r="D125" s="79" t="inlineStr">
        <is>
          <t>Repayment of loans</t>
        </is>
      </c>
      <c r="E125" s="79" t="inlineStr">
        <is>
          <t>Maybank</t>
        </is>
      </c>
      <c r="F125" s="79" t="n"/>
      <c r="G125" s="52" t="inlineStr">
        <is>
          <t>From category table</t>
        </is>
      </c>
    </row>
    <row r="126">
      <c r="A126" s="56" t="inlineStr">
        <is>
          <t>Advance to related parties — Oct (recurring)</t>
        </is>
      </c>
      <c r="B126" s="66">
        <f>DATE(2026,10,$F$78)</f>
        <v/>
      </c>
      <c r="C126" s="85">
        <f>$H$78</f>
        <v/>
      </c>
      <c r="D126" s="79" t="inlineStr">
        <is>
          <t>Advance to related parties</t>
        </is>
      </c>
      <c r="E126" s="79" t="inlineStr">
        <is>
          <t>Maybank</t>
        </is>
      </c>
      <c r="F126" s="79" t="n"/>
      <c r="G126" s="52" t="inlineStr">
        <is>
          <t>From category table</t>
        </is>
      </c>
    </row>
    <row r="127">
      <c r="A127" s="56" t="inlineStr">
        <is>
          <t>Advance to related parties — Nov (recurring)</t>
        </is>
      </c>
      <c r="B127" s="66">
        <f>DATE(2026,11,$F$78)</f>
        <v/>
      </c>
      <c r="C127" s="85">
        <f>$H$78</f>
        <v/>
      </c>
      <c r="D127" s="79" t="inlineStr">
        <is>
          <t>Advance to related parties</t>
        </is>
      </c>
      <c r="E127" s="79" t="inlineStr">
        <is>
          <t>Maybank</t>
        </is>
      </c>
      <c r="F127" s="79" t="n"/>
      <c r="G127" s="52" t="inlineStr">
        <is>
          <t>From category table</t>
        </is>
      </c>
    </row>
    <row r="128">
      <c r="A128" s="56" t="inlineStr">
        <is>
          <t>Advance to related parties — Dec (recurring)</t>
        </is>
      </c>
      <c r="B128" s="66">
        <f>DATE(2026,12,$F$78)</f>
        <v/>
      </c>
      <c r="C128" s="85">
        <f>$H$78</f>
        <v/>
      </c>
      <c r="D128" s="79" t="inlineStr">
        <is>
          <t>Advance to related parties</t>
        </is>
      </c>
      <c r="E128" s="79" t="inlineStr">
        <is>
          <t>Maybank</t>
        </is>
      </c>
      <c r="F128" s="79" t="n"/>
      <c r="G128" s="52" t="inlineStr">
        <is>
          <t>From category table</t>
        </is>
      </c>
    </row>
    <row r="129">
      <c r="A129" s="52" t="inlineStr">
        <is>
          <t>(spare row — add an event)</t>
        </is>
      </c>
      <c r="B129" s="76" t="n"/>
      <c r="C129" s="80" t="n"/>
      <c r="D129" s="79" t="n"/>
      <c r="E129" s="79" t="n"/>
      <c r="F129" s="79" t="n"/>
      <c r="G129" s="52" t="inlineStr"/>
    </row>
    <row r="130">
      <c r="A130" s="52" t="inlineStr">
        <is>
          <t>(spare row — add an event)</t>
        </is>
      </c>
      <c r="B130" s="76" t="n"/>
      <c r="C130" s="80" t="n"/>
      <c r="D130" s="79" t="n"/>
      <c r="E130" s="79" t="n"/>
      <c r="F130" s="79" t="n"/>
      <c r="G130" s="52" t="inlineStr"/>
    </row>
    <row r="131">
      <c r="A131" s="52" t="inlineStr">
        <is>
          <t>(spare row — add an event)</t>
        </is>
      </c>
      <c r="B131" s="76" t="n"/>
      <c r="C131" s="80" t="n"/>
      <c r="D131" s="79" t="n"/>
      <c r="E131" s="79" t="n"/>
      <c r="F131" s="79" t="n"/>
      <c r="G131" s="52" t="inlineStr"/>
    </row>
    <row r="132">
      <c r="A132" s="52" t="inlineStr">
        <is>
          <t>(spare row — add an event)</t>
        </is>
      </c>
      <c r="B132" s="76" t="n"/>
      <c r="C132" s="80" t="n"/>
      <c r="D132" s="79" t="n"/>
      <c r="E132" s="79" t="n"/>
      <c r="F132" s="79" t="n"/>
      <c r="G132" s="52" t="inlineStr"/>
    </row>
    <row r="133">
      <c r="A133" s="52" t="inlineStr">
        <is>
          <t>(spare row — add an event)</t>
        </is>
      </c>
      <c r="B133" s="76" t="n"/>
      <c r="C133" s="80" t="n"/>
      <c r="D133" s="79" t="n"/>
      <c r="E133" s="79" t="n"/>
      <c r="F133" s="79" t="n"/>
      <c r="G133" s="52" t="inlineStr"/>
    </row>
  </sheetData>
  <mergeCells count="1">
    <mergeCell ref="G84:I8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1"/>
  <sheetViews>
    <sheetView showGridLines="0" workbookViewId="0">
      <pane xSplit="3" ySplit="12" topLeftCell="D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6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>
      <c r="A1" s="90" t="inlineStr">
        <is>
          <t>TOP GLOBAL FOOD AND BEVERAGES SDN BHD</t>
        </is>
      </c>
    </row>
    <row r="2">
      <c r="A2" s="91" t="inlineStr">
        <is>
          <t>Q4 2026 WEEKLY CASH FLOW FORECAST — MAYBANK + RHB COMBINED</t>
        </is>
      </c>
    </row>
    <row r="4">
      <c r="B4" s="56" t="inlineStr">
        <is>
          <t>Period Beginning</t>
        </is>
      </c>
      <c r="C4" s="92">
        <f>'Q4 Assumptions'!$B$5</f>
        <v/>
      </c>
    </row>
    <row r="5">
      <c r="B5" s="56" t="inlineStr">
        <is>
          <t>Period Ending</t>
        </is>
      </c>
      <c r="C5" s="92">
        <f>'Q4 Assumptions'!$B$6</f>
        <v/>
      </c>
    </row>
    <row r="6">
      <c r="B6" s="56" t="inlineStr">
        <is>
          <t>Cash at Beginning of Period</t>
        </is>
      </c>
      <c r="C6" s="85">
        <f>R76</f>
        <v/>
      </c>
    </row>
    <row r="7">
      <c r="B7" s="56" t="inlineStr">
        <is>
          <t>Cash at End of Period</t>
        </is>
      </c>
      <c r="C7" s="93">
        <f>R77</f>
        <v/>
      </c>
    </row>
    <row r="9">
      <c r="A9" s="53" t="inlineStr">
        <is>
          <t>Operations</t>
        </is>
      </c>
      <c r="B9" s="94" t="inlineStr"/>
      <c r="C9" s="53" t="inlineStr">
        <is>
          <t>Sept'26 Actual</t>
        </is>
      </c>
      <c r="D9" s="53" t="inlineStr">
        <is>
          <t>Week 1</t>
        </is>
      </c>
      <c r="E9" s="53" t="inlineStr">
        <is>
          <t>Week 2</t>
        </is>
      </c>
      <c r="F9" s="53" t="inlineStr">
        <is>
          <t>Week 3</t>
        </is>
      </c>
      <c r="G9" s="53" t="inlineStr">
        <is>
          <t>Week 4</t>
        </is>
      </c>
      <c r="H9" s="53" t="inlineStr">
        <is>
          <t>Week 5</t>
        </is>
      </c>
      <c r="I9" s="53" t="inlineStr">
        <is>
          <t>Week 6</t>
        </is>
      </c>
      <c r="J9" s="53" t="inlineStr">
        <is>
          <t>Week 7</t>
        </is>
      </c>
      <c r="K9" s="53" t="inlineStr">
        <is>
          <t>Week 8</t>
        </is>
      </c>
      <c r="L9" s="53" t="inlineStr">
        <is>
          <t>Week 9</t>
        </is>
      </c>
      <c r="M9" s="53" t="inlineStr">
        <is>
          <t>Week 10</t>
        </is>
      </c>
      <c r="N9" s="53" t="inlineStr">
        <is>
          <t>Week 11</t>
        </is>
      </c>
      <c r="O9" s="53" t="inlineStr">
        <is>
          <t>Week 12</t>
        </is>
      </c>
      <c r="P9" s="53" t="inlineStr">
        <is>
          <t>Week 13</t>
        </is>
      </c>
      <c r="Q9" s="53" t="inlineStr">
        <is>
          <t>Week 14</t>
        </is>
      </c>
      <c r="R9" s="53" t="inlineStr">
        <is>
          <t>Q4 Total</t>
        </is>
      </c>
    </row>
    <row r="10">
      <c r="B10" s="52" t="inlineStr">
        <is>
          <t>Week start</t>
        </is>
      </c>
      <c r="C10" s="95" t="inlineStr">
        <is>
          <t>1-Sep-26 to</t>
        </is>
      </c>
      <c r="D10" s="96">
        <f>'Q4 Assumptions'!$B$5</f>
        <v/>
      </c>
      <c r="E10" s="97">
        <f>D11+1</f>
        <v/>
      </c>
      <c r="F10" s="97">
        <f>E11+1</f>
        <v/>
      </c>
      <c r="G10" s="97">
        <f>F11+1</f>
        <v/>
      </c>
      <c r="H10" s="97">
        <f>G11+1</f>
        <v/>
      </c>
      <c r="I10" s="97">
        <f>H11+1</f>
        <v/>
      </c>
      <c r="J10" s="97">
        <f>I11+1</f>
        <v/>
      </c>
      <c r="K10" s="97">
        <f>J11+1</f>
        <v/>
      </c>
      <c r="L10" s="97">
        <f>K11+1</f>
        <v/>
      </c>
      <c r="M10" s="97">
        <f>L11+1</f>
        <v/>
      </c>
      <c r="N10" s="97">
        <f>M11+1</f>
        <v/>
      </c>
      <c r="O10" s="97">
        <f>N11+1</f>
        <v/>
      </c>
      <c r="P10" s="97">
        <f>O11+1</f>
        <v/>
      </c>
      <c r="Q10" s="97">
        <f>P11+1</f>
        <v/>
      </c>
      <c r="R10" s="98" t="n"/>
    </row>
    <row r="11">
      <c r="B11" s="52" t="inlineStr">
        <is>
          <t>Week end</t>
        </is>
      </c>
      <c r="C11" s="95" t="inlineStr">
        <is>
          <t>28-Sep-26</t>
        </is>
      </c>
      <c r="D11" s="97">
        <f>MIN(D10+6-MOD(D10-2,7),'Q4 Assumptions'!$B$6)</f>
        <v/>
      </c>
      <c r="E11" s="97">
        <f>MIN(E10+6-MOD(E10-2,7),'Q4 Assumptions'!$B$6)</f>
        <v/>
      </c>
      <c r="F11" s="97">
        <f>MIN(F10+6-MOD(F10-2,7),'Q4 Assumptions'!$B$6)</f>
        <v/>
      </c>
      <c r="G11" s="97">
        <f>MIN(G10+6-MOD(G10-2,7),'Q4 Assumptions'!$B$6)</f>
        <v/>
      </c>
      <c r="H11" s="97">
        <f>MIN(H10+6-MOD(H10-2,7),'Q4 Assumptions'!$B$6)</f>
        <v/>
      </c>
      <c r="I11" s="97">
        <f>MIN(I10+6-MOD(I10-2,7),'Q4 Assumptions'!$B$6)</f>
        <v/>
      </c>
      <c r="J11" s="97">
        <f>MIN(J10+6-MOD(J10-2,7),'Q4 Assumptions'!$B$6)</f>
        <v/>
      </c>
      <c r="K11" s="97">
        <f>MIN(K10+6-MOD(K10-2,7),'Q4 Assumptions'!$B$6)</f>
        <v/>
      </c>
      <c r="L11" s="97">
        <f>MIN(L10+6-MOD(L10-2,7),'Q4 Assumptions'!$B$6)</f>
        <v/>
      </c>
      <c r="M11" s="97">
        <f>MIN(M10+6-MOD(M10-2,7),'Q4 Assumptions'!$B$6)</f>
        <v/>
      </c>
      <c r="N11" s="97">
        <f>MIN(N10+6-MOD(N10-2,7),'Q4 Assumptions'!$B$6)</f>
        <v/>
      </c>
      <c r="O11" s="97">
        <f>MIN(O10+6-MOD(O10-2,7),'Q4 Assumptions'!$B$6)</f>
        <v/>
      </c>
      <c r="P11" s="97">
        <f>MIN(P10+6-MOD(P10-2,7),'Q4 Assumptions'!$B$6)</f>
        <v/>
      </c>
      <c r="Q11" s="97">
        <f>MIN(Q10+6-MOD(Q10-2,7),'Q4 Assumptions'!$B$6)</f>
        <v/>
      </c>
      <c r="R11" s="98" t="n"/>
    </row>
    <row r="12">
      <c r="B12" s="52" t="inlineStr">
        <is>
          <t>Days</t>
        </is>
      </c>
      <c r="C12" s="95" t="inlineStr">
        <is>
          <t>Maybank only</t>
        </is>
      </c>
      <c r="D12" s="99">
        <f>D11-D10+1</f>
        <v/>
      </c>
      <c r="E12" s="99">
        <f>E11-E10+1</f>
        <v/>
      </c>
      <c r="F12" s="99">
        <f>F11-F10+1</f>
        <v/>
      </c>
      <c r="G12" s="99">
        <f>G11-G10+1</f>
        <v/>
      </c>
      <c r="H12" s="99">
        <f>H11-H10+1</f>
        <v/>
      </c>
      <c r="I12" s="99">
        <f>I11-I10+1</f>
        <v/>
      </c>
      <c r="J12" s="99">
        <f>J11-J10+1</f>
        <v/>
      </c>
      <c r="K12" s="99">
        <f>K11-K10+1</f>
        <v/>
      </c>
      <c r="L12" s="99">
        <f>L11-L10+1</f>
        <v/>
      </c>
      <c r="M12" s="99">
        <f>M11-M10+1</f>
        <v/>
      </c>
      <c r="N12" s="99">
        <f>N11-N10+1</f>
        <v/>
      </c>
      <c r="O12" s="99">
        <f>O11-O10+1</f>
        <v/>
      </c>
      <c r="P12" s="99">
        <f>P11-P10+1</f>
        <v/>
      </c>
      <c r="Q12" s="99">
        <f>Q11-Q10+1</f>
        <v/>
      </c>
      <c r="R12" s="99">
        <f>SUM(D12:Q12)</f>
        <v/>
      </c>
    </row>
    <row r="13">
      <c r="A13" s="100" t="inlineStr">
        <is>
          <t>Cash receipts from</t>
        </is>
      </c>
      <c r="B13" s="101" t="n"/>
      <c r="C13" s="101" t="n"/>
      <c r="D13" s="101" t="n"/>
      <c r="E13" s="101" t="n"/>
      <c r="F13" s="101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O13" s="101" t="n"/>
      <c r="P13" s="101" t="n"/>
      <c r="Q13" s="101" t="n"/>
      <c r="R13" s="101" t="n"/>
    </row>
    <row r="14">
      <c r="A14" s="101" t="n"/>
      <c r="B14" s="100" t="inlineStr">
        <is>
          <t>Customers &amp; Sales</t>
        </is>
      </c>
      <c r="C14" s="102">
        <f>'Q4 Assumptions'!C36</f>
        <v/>
      </c>
      <c r="D14" s="103">
        <f>'Q4 Assumptions'!$G$36*D$12+SUMIFS('Q4 Assumptions'!$C$85:$C$133,'Q4 Assumptions'!$D$85:$D$133,'Q4 Assumptions'!$A$36,'Q4 Assumptions'!$B$85:$B$133,"&gt;="&amp;D$10,'Q4 Assumptions'!$B$85:$B$133,"&lt;="&amp;D$11)+D83+D90</f>
        <v/>
      </c>
      <c r="E14" s="103">
        <f>'Q4 Assumptions'!$G$36*E$12+SUMIFS('Q4 Assumptions'!$C$85:$C$133,'Q4 Assumptions'!$D$85:$D$133,'Q4 Assumptions'!$A$36,'Q4 Assumptions'!$B$85:$B$133,"&gt;="&amp;E$10,'Q4 Assumptions'!$B$85:$B$133,"&lt;="&amp;E$11)+E83+E90</f>
        <v/>
      </c>
      <c r="F14" s="103">
        <f>'Q4 Assumptions'!$G$36*F$12+SUMIFS('Q4 Assumptions'!$C$85:$C$133,'Q4 Assumptions'!$D$85:$D$133,'Q4 Assumptions'!$A$36,'Q4 Assumptions'!$B$85:$B$133,"&gt;="&amp;F$10,'Q4 Assumptions'!$B$85:$B$133,"&lt;="&amp;F$11)+F83+F90</f>
        <v/>
      </c>
      <c r="G14" s="103">
        <f>'Q4 Assumptions'!$G$36*G$12+SUMIFS('Q4 Assumptions'!$C$85:$C$133,'Q4 Assumptions'!$D$85:$D$133,'Q4 Assumptions'!$A$36,'Q4 Assumptions'!$B$85:$B$133,"&gt;="&amp;G$10,'Q4 Assumptions'!$B$85:$B$133,"&lt;="&amp;G$11)+G83+G90</f>
        <v/>
      </c>
      <c r="H14" s="103">
        <f>'Q4 Assumptions'!$G$36*H$12+SUMIFS('Q4 Assumptions'!$C$85:$C$133,'Q4 Assumptions'!$D$85:$D$133,'Q4 Assumptions'!$A$36,'Q4 Assumptions'!$B$85:$B$133,"&gt;="&amp;H$10,'Q4 Assumptions'!$B$85:$B$133,"&lt;="&amp;H$11)+H83+H90</f>
        <v/>
      </c>
      <c r="I14" s="103">
        <f>'Q4 Assumptions'!$G$36*I$12+SUMIFS('Q4 Assumptions'!$C$85:$C$133,'Q4 Assumptions'!$D$85:$D$133,'Q4 Assumptions'!$A$36,'Q4 Assumptions'!$B$85:$B$133,"&gt;="&amp;I$10,'Q4 Assumptions'!$B$85:$B$133,"&lt;="&amp;I$11)+I83+I90</f>
        <v/>
      </c>
      <c r="J14" s="103">
        <f>'Q4 Assumptions'!$G$36*J$12+SUMIFS('Q4 Assumptions'!$C$85:$C$133,'Q4 Assumptions'!$D$85:$D$133,'Q4 Assumptions'!$A$36,'Q4 Assumptions'!$B$85:$B$133,"&gt;="&amp;J$10,'Q4 Assumptions'!$B$85:$B$133,"&lt;="&amp;J$11)+J83+J90</f>
        <v/>
      </c>
      <c r="K14" s="103">
        <f>'Q4 Assumptions'!$G$36*K$12+SUMIFS('Q4 Assumptions'!$C$85:$C$133,'Q4 Assumptions'!$D$85:$D$133,'Q4 Assumptions'!$A$36,'Q4 Assumptions'!$B$85:$B$133,"&gt;="&amp;K$10,'Q4 Assumptions'!$B$85:$B$133,"&lt;="&amp;K$11)+K83+K90</f>
        <v/>
      </c>
      <c r="L14" s="103">
        <f>'Q4 Assumptions'!$G$36*L$12+SUMIFS('Q4 Assumptions'!$C$85:$C$133,'Q4 Assumptions'!$D$85:$D$133,'Q4 Assumptions'!$A$36,'Q4 Assumptions'!$B$85:$B$133,"&gt;="&amp;L$10,'Q4 Assumptions'!$B$85:$B$133,"&lt;="&amp;L$11)+L83+L90</f>
        <v/>
      </c>
      <c r="M14" s="103">
        <f>'Q4 Assumptions'!$G$36*M$12+SUMIFS('Q4 Assumptions'!$C$85:$C$133,'Q4 Assumptions'!$D$85:$D$133,'Q4 Assumptions'!$A$36,'Q4 Assumptions'!$B$85:$B$133,"&gt;="&amp;M$10,'Q4 Assumptions'!$B$85:$B$133,"&lt;="&amp;M$11)+M83+M90</f>
        <v/>
      </c>
      <c r="N14" s="103">
        <f>'Q4 Assumptions'!$G$36*N$12+SUMIFS('Q4 Assumptions'!$C$85:$C$133,'Q4 Assumptions'!$D$85:$D$133,'Q4 Assumptions'!$A$36,'Q4 Assumptions'!$B$85:$B$133,"&gt;="&amp;N$10,'Q4 Assumptions'!$B$85:$B$133,"&lt;="&amp;N$11)+N83+N90</f>
        <v/>
      </c>
      <c r="O14" s="103">
        <f>'Q4 Assumptions'!$G$36*O$12+SUMIFS('Q4 Assumptions'!$C$85:$C$133,'Q4 Assumptions'!$D$85:$D$133,'Q4 Assumptions'!$A$36,'Q4 Assumptions'!$B$85:$B$133,"&gt;="&amp;O$10,'Q4 Assumptions'!$B$85:$B$133,"&lt;="&amp;O$11)+O83+O90</f>
        <v/>
      </c>
      <c r="P14" s="103">
        <f>'Q4 Assumptions'!$G$36*P$12+SUMIFS('Q4 Assumptions'!$C$85:$C$133,'Q4 Assumptions'!$D$85:$D$133,'Q4 Assumptions'!$A$36,'Q4 Assumptions'!$B$85:$B$133,"&gt;="&amp;P$10,'Q4 Assumptions'!$B$85:$B$133,"&lt;="&amp;P$11)+P83+P90</f>
        <v/>
      </c>
      <c r="Q14" s="103">
        <f>'Q4 Assumptions'!$G$36*Q$12+SUMIFS('Q4 Assumptions'!$C$85:$C$133,'Q4 Assumptions'!$D$85:$D$133,'Q4 Assumptions'!$A$36,'Q4 Assumptions'!$B$85:$B$133,"&gt;="&amp;Q$10,'Q4 Assumptions'!$B$85:$B$133,"&lt;="&amp;Q$11)+Q83+Q90</f>
        <v/>
      </c>
      <c r="R14" s="104">
        <f>SUM(D14:Q14)</f>
        <v/>
      </c>
    </row>
    <row r="15">
      <c r="A15" s="101" t="n"/>
      <c r="B15" s="100" t="inlineStr">
        <is>
          <t>Licensing fee</t>
        </is>
      </c>
      <c r="C15" s="102">
        <f>'Q4 Assumptions'!C37</f>
        <v/>
      </c>
      <c r="D15" s="103">
        <f>'Q4 Assumptions'!$G$37*D$12+SUMIFS('Q4 Assumptions'!$C$85:$C$133,'Q4 Assumptions'!$D$85:$D$133,'Q4 Assumptions'!$A$37,'Q4 Assumptions'!$B$85:$B$133,"&gt;="&amp;D$10,'Q4 Assumptions'!$B$85:$B$133,"&lt;="&amp;D$11)</f>
        <v/>
      </c>
      <c r="E15" s="103">
        <f>'Q4 Assumptions'!$G$37*E$12+SUMIFS('Q4 Assumptions'!$C$85:$C$133,'Q4 Assumptions'!$D$85:$D$133,'Q4 Assumptions'!$A$37,'Q4 Assumptions'!$B$85:$B$133,"&gt;="&amp;E$10,'Q4 Assumptions'!$B$85:$B$133,"&lt;="&amp;E$11)</f>
        <v/>
      </c>
      <c r="F15" s="103">
        <f>'Q4 Assumptions'!$G$37*F$12+SUMIFS('Q4 Assumptions'!$C$85:$C$133,'Q4 Assumptions'!$D$85:$D$133,'Q4 Assumptions'!$A$37,'Q4 Assumptions'!$B$85:$B$133,"&gt;="&amp;F$10,'Q4 Assumptions'!$B$85:$B$133,"&lt;="&amp;F$11)</f>
        <v/>
      </c>
      <c r="G15" s="103">
        <f>'Q4 Assumptions'!$G$37*G$12+SUMIFS('Q4 Assumptions'!$C$85:$C$133,'Q4 Assumptions'!$D$85:$D$133,'Q4 Assumptions'!$A$37,'Q4 Assumptions'!$B$85:$B$133,"&gt;="&amp;G$10,'Q4 Assumptions'!$B$85:$B$133,"&lt;="&amp;G$11)</f>
        <v/>
      </c>
      <c r="H15" s="103">
        <f>'Q4 Assumptions'!$G$37*H$12+SUMIFS('Q4 Assumptions'!$C$85:$C$133,'Q4 Assumptions'!$D$85:$D$133,'Q4 Assumptions'!$A$37,'Q4 Assumptions'!$B$85:$B$133,"&gt;="&amp;H$10,'Q4 Assumptions'!$B$85:$B$133,"&lt;="&amp;H$11)</f>
        <v/>
      </c>
      <c r="I15" s="103">
        <f>'Q4 Assumptions'!$G$37*I$12+SUMIFS('Q4 Assumptions'!$C$85:$C$133,'Q4 Assumptions'!$D$85:$D$133,'Q4 Assumptions'!$A$37,'Q4 Assumptions'!$B$85:$B$133,"&gt;="&amp;I$10,'Q4 Assumptions'!$B$85:$B$133,"&lt;="&amp;I$11)</f>
        <v/>
      </c>
      <c r="J15" s="103">
        <f>'Q4 Assumptions'!$G$37*J$12+SUMIFS('Q4 Assumptions'!$C$85:$C$133,'Q4 Assumptions'!$D$85:$D$133,'Q4 Assumptions'!$A$37,'Q4 Assumptions'!$B$85:$B$133,"&gt;="&amp;J$10,'Q4 Assumptions'!$B$85:$B$133,"&lt;="&amp;J$11)</f>
        <v/>
      </c>
      <c r="K15" s="103">
        <f>'Q4 Assumptions'!$G$37*K$12+SUMIFS('Q4 Assumptions'!$C$85:$C$133,'Q4 Assumptions'!$D$85:$D$133,'Q4 Assumptions'!$A$37,'Q4 Assumptions'!$B$85:$B$133,"&gt;="&amp;K$10,'Q4 Assumptions'!$B$85:$B$133,"&lt;="&amp;K$11)</f>
        <v/>
      </c>
      <c r="L15" s="103">
        <f>'Q4 Assumptions'!$G$37*L$12+SUMIFS('Q4 Assumptions'!$C$85:$C$133,'Q4 Assumptions'!$D$85:$D$133,'Q4 Assumptions'!$A$37,'Q4 Assumptions'!$B$85:$B$133,"&gt;="&amp;L$10,'Q4 Assumptions'!$B$85:$B$133,"&lt;="&amp;L$11)</f>
        <v/>
      </c>
      <c r="M15" s="103">
        <f>'Q4 Assumptions'!$G$37*M$12+SUMIFS('Q4 Assumptions'!$C$85:$C$133,'Q4 Assumptions'!$D$85:$D$133,'Q4 Assumptions'!$A$37,'Q4 Assumptions'!$B$85:$B$133,"&gt;="&amp;M$10,'Q4 Assumptions'!$B$85:$B$133,"&lt;="&amp;M$11)</f>
        <v/>
      </c>
      <c r="N15" s="103">
        <f>'Q4 Assumptions'!$G$37*N$12+SUMIFS('Q4 Assumptions'!$C$85:$C$133,'Q4 Assumptions'!$D$85:$D$133,'Q4 Assumptions'!$A$37,'Q4 Assumptions'!$B$85:$B$133,"&gt;="&amp;N$10,'Q4 Assumptions'!$B$85:$B$133,"&lt;="&amp;N$11)</f>
        <v/>
      </c>
      <c r="O15" s="103">
        <f>'Q4 Assumptions'!$G$37*O$12+SUMIFS('Q4 Assumptions'!$C$85:$C$133,'Q4 Assumptions'!$D$85:$D$133,'Q4 Assumptions'!$A$37,'Q4 Assumptions'!$B$85:$B$133,"&gt;="&amp;O$10,'Q4 Assumptions'!$B$85:$B$133,"&lt;="&amp;O$11)</f>
        <v/>
      </c>
      <c r="P15" s="103">
        <f>'Q4 Assumptions'!$G$37*P$12+SUMIFS('Q4 Assumptions'!$C$85:$C$133,'Q4 Assumptions'!$D$85:$D$133,'Q4 Assumptions'!$A$37,'Q4 Assumptions'!$B$85:$B$133,"&gt;="&amp;P$10,'Q4 Assumptions'!$B$85:$B$133,"&lt;="&amp;P$11)</f>
        <v/>
      </c>
      <c r="Q15" s="103">
        <f>'Q4 Assumptions'!$G$37*Q$12+SUMIFS('Q4 Assumptions'!$C$85:$C$133,'Q4 Assumptions'!$D$85:$D$133,'Q4 Assumptions'!$A$37,'Q4 Assumptions'!$B$85:$B$133,"&gt;="&amp;Q$10,'Q4 Assumptions'!$B$85:$B$133,"&lt;="&amp;Q$11)</f>
        <v/>
      </c>
      <c r="R15" s="104">
        <f>SUM(D15:Q15)</f>
        <v/>
      </c>
    </row>
    <row r="16">
      <c r="A16" s="101" t="n"/>
      <c r="B16" s="100" t="inlineStr">
        <is>
          <t>Licensing package</t>
        </is>
      </c>
      <c r="C16" s="102">
        <f>'Q4 Assumptions'!C38</f>
        <v/>
      </c>
      <c r="D16" s="103">
        <f>'Q4 Assumptions'!$G$38*D$12+SUMIFS('Q4 Assumptions'!$C$85:$C$133,'Q4 Assumptions'!$D$85:$D$133,'Q4 Assumptions'!$A$38,'Q4 Assumptions'!$B$85:$B$133,"&gt;="&amp;D$10,'Q4 Assumptions'!$B$85:$B$133,"&lt;="&amp;D$11)</f>
        <v/>
      </c>
      <c r="E16" s="103">
        <f>'Q4 Assumptions'!$G$38*E$12+SUMIFS('Q4 Assumptions'!$C$85:$C$133,'Q4 Assumptions'!$D$85:$D$133,'Q4 Assumptions'!$A$38,'Q4 Assumptions'!$B$85:$B$133,"&gt;="&amp;E$10,'Q4 Assumptions'!$B$85:$B$133,"&lt;="&amp;E$11)</f>
        <v/>
      </c>
      <c r="F16" s="103">
        <f>'Q4 Assumptions'!$G$38*F$12+SUMIFS('Q4 Assumptions'!$C$85:$C$133,'Q4 Assumptions'!$D$85:$D$133,'Q4 Assumptions'!$A$38,'Q4 Assumptions'!$B$85:$B$133,"&gt;="&amp;F$10,'Q4 Assumptions'!$B$85:$B$133,"&lt;="&amp;F$11)</f>
        <v/>
      </c>
      <c r="G16" s="103">
        <f>'Q4 Assumptions'!$G$38*G$12+SUMIFS('Q4 Assumptions'!$C$85:$C$133,'Q4 Assumptions'!$D$85:$D$133,'Q4 Assumptions'!$A$38,'Q4 Assumptions'!$B$85:$B$133,"&gt;="&amp;G$10,'Q4 Assumptions'!$B$85:$B$133,"&lt;="&amp;G$11)</f>
        <v/>
      </c>
      <c r="H16" s="103">
        <f>'Q4 Assumptions'!$G$38*H$12+SUMIFS('Q4 Assumptions'!$C$85:$C$133,'Q4 Assumptions'!$D$85:$D$133,'Q4 Assumptions'!$A$38,'Q4 Assumptions'!$B$85:$B$133,"&gt;="&amp;H$10,'Q4 Assumptions'!$B$85:$B$133,"&lt;="&amp;H$11)</f>
        <v/>
      </c>
      <c r="I16" s="103">
        <f>'Q4 Assumptions'!$G$38*I$12+SUMIFS('Q4 Assumptions'!$C$85:$C$133,'Q4 Assumptions'!$D$85:$D$133,'Q4 Assumptions'!$A$38,'Q4 Assumptions'!$B$85:$B$133,"&gt;="&amp;I$10,'Q4 Assumptions'!$B$85:$B$133,"&lt;="&amp;I$11)</f>
        <v/>
      </c>
      <c r="J16" s="103">
        <f>'Q4 Assumptions'!$G$38*J$12+SUMIFS('Q4 Assumptions'!$C$85:$C$133,'Q4 Assumptions'!$D$85:$D$133,'Q4 Assumptions'!$A$38,'Q4 Assumptions'!$B$85:$B$133,"&gt;="&amp;J$10,'Q4 Assumptions'!$B$85:$B$133,"&lt;="&amp;J$11)</f>
        <v/>
      </c>
      <c r="K16" s="103">
        <f>'Q4 Assumptions'!$G$38*K$12+SUMIFS('Q4 Assumptions'!$C$85:$C$133,'Q4 Assumptions'!$D$85:$D$133,'Q4 Assumptions'!$A$38,'Q4 Assumptions'!$B$85:$B$133,"&gt;="&amp;K$10,'Q4 Assumptions'!$B$85:$B$133,"&lt;="&amp;K$11)</f>
        <v/>
      </c>
      <c r="L16" s="103">
        <f>'Q4 Assumptions'!$G$38*L$12+SUMIFS('Q4 Assumptions'!$C$85:$C$133,'Q4 Assumptions'!$D$85:$D$133,'Q4 Assumptions'!$A$38,'Q4 Assumptions'!$B$85:$B$133,"&gt;="&amp;L$10,'Q4 Assumptions'!$B$85:$B$133,"&lt;="&amp;L$11)</f>
        <v/>
      </c>
      <c r="M16" s="103">
        <f>'Q4 Assumptions'!$G$38*M$12+SUMIFS('Q4 Assumptions'!$C$85:$C$133,'Q4 Assumptions'!$D$85:$D$133,'Q4 Assumptions'!$A$38,'Q4 Assumptions'!$B$85:$B$133,"&gt;="&amp;M$10,'Q4 Assumptions'!$B$85:$B$133,"&lt;="&amp;M$11)</f>
        <v/>
      </c>
      <c r="N16" s="103">
        <f>'Q4 Assumptions'!$G$38*N$12+SUMIFS('Q4 Assumptions'!$C$85:$C$133,'Q4 Assumptions'!$D$85:$D$133,'Q4 Assumptions'!$A$38,'Q4 Assumptions'!$B$85:$B$133,"&gt;="&amp;N$10,'Q4 Assumptions'!$B$85:$B$133,"&lt;="&amp;N$11)</f>
        <v/>
      </c>
      <c r="O16" s="103">
        <f>'Q4 Assumptions'!$G$38*O$12+SUMIFS('Q4 Assumptions'!$C$85:$C$133,'Q4 Assumptions'!$D$85:$D$133,'Q4 Assumptions'!$A$38,'Q4 Assumptions'!$B$85:$B$133,"&gt;="&amp;O$10,'Q4 Assumptions'!$B$85:$B$133,"&lt;="&amp;O$11)</f>
        <v/>
      </c>
      <c r="P16" s="103">
        <f>'Q4 Assumptions'!$G$38*P$12+SUMIFS('Q4 Assumptions'!$C$85:$C$133,'Q4 Assumptions'!$D$85:$D$133,'Q4 Assumptions'!$A$38,'Q4 Assumptions'!$B$85:$B$133,"&gt;="&amp;P$10,'Q4 Assumptions'!$B$85:$B$133,"&lt;="&amp;P$11)</f>
        <v/>
      </c>
      <c r="Q16" s="103">
        <f>'Q4 Assumptions'!$G$38*Q$12+SUMIFS('Q4 Assumptions'!$C$85:$C$133,'Q4 Assumptions'!$D$85:$D$133,'Q4 Assumptions'!$A$38,'Q4 Assumptions'!$B$85:$B$133,"&gt;="&amp;Q$10,'Q4 Assumptions'!$B$85:$B$133,"&lt;="&amp;Q$11)</f>
        <v/>
      </c>
      <c r="R16" s="104">
        <f>SUM(D16:Q16)</f>
        <v/>
      </c>
    </row>
    <row r="17">
      <c r="A17" s="101" t="n"/>
      <c r="B17" s="100" t="inlineStr">
        <is>
          <t>Royalty</t>
        </is>
      </c>
      <c r="C17" s="102">
        <f>'Q4 Assumptions'!C39</f>
        <v/>
      </c>
      <c r="D17" s="103">
        <f>'Q4 Assumptions'!$G$39*D$12+SUMIFS('Q4 Assumptions'!$C$85:$C$133,'Q4 Assumptions'!$D$85:$D$133,'Q4 Assumptions'!$A$39,'Q4 Assumptions'!$B$85:$B$133,"&gt;="&amp;D$10,'Q4 Assumptions'!$B$85:$B$133,"&lt;="&amp;D$11)</f>
        <v/>
      </c>
      <c r="E17" s="103">
        <f>'Q4 Assumptions'!$G$39*E$12+SUMIFS('Q4 Assumptions'!$C$85:$C$133,'Q4 Assumptions'!$D$85:$D$133,'Q4 Assumptions'!$A$39,'Q4 Assumptions'!$B$85:$B$133,"&gt;="&amp;E$10,'Q4 Assumptions'!$B$85:$B$133,"&lt;="&amp;E$11)</f>
        <v/>
      </c>
      <c r="F17" s="103">
        <f>'Q4 Assumptions'!$G$39*F$12+SUMIFS('Q4 Assumptions'!$C$85:$C$133,'Q4 Assumptions'!$D$85:$D$133,'Q4 Assumptions'!$A$39,'Q4 Assumptions'!$B$85:$B$133,"&gt;="&amp;F$10,'Q4 Assumptions'!$B$85:$B$133,"&lt;="&amp;F$11)</f>
        <v/>
      </c>
      <c r="G17" s="103">
        <f>'Q4 Assumptions'!$G$39*G$12+SUMIFS('Q4 Assumptions'!$C$85:$C$133,'Q4 Assumptions'!$D$85:$D$133,'Q4 Assumptions'!$A$39,'Q4 Assumptions'!$B$85:$B$133,"&gt;="&amp;G$10,'Q4 Assumptions'!$B$85:$B$133,"&lt;="&amp;G$11)</f>
        <v/>
      </c>
      <c r="H17" s="103">
        <f>'Q4 Assumptions'!$G$39*H$12+SUMIFS('Q4 Assumptions'!$C$85:$C$133,'Q4 Assumptions'!$D$85:$D$133,'Q4 Assumptions'!$A$39,'Q4 Assumptions'!$B$85:$B$133,"&gt;="&amp;H$10,'Q4 Assumptions'!$B$85:$B$133,"&lt;="&amp;H$11)</f>
        <v/>
      </c>
      <c r="I17" s="103">
        <f>'Q4 Assumptions'!$G$39*I$12+SUMIFS('Q4 Assumptions'!$C$85:$C$133,'Q4 Assumptions'!$D$85:$D$133,'Q4 Assumptions'!$A$39,'Q4 Assumptions'!$B$85:$B$133,"&gt;="&amp;I$10,'Q4 Assumptions'!$B$85:$B$133,"&lt;="&amp;I$11)</f>
        <v/>
      </c>
      <c r="J17" s="103">
        <f>'Q4 Assumptions'!$G$39*J$12+SUMIFS('Q4 Assumptions'!$C$85:$C$133,'Q4 Assumptions'!$D$85:$D$133,'Q4 Assumptions'!$A$39,'Q4 Assumptions'!$B$85:$B$133,"&gt;="&amp;J$10,'Q4 Assumptions'!$B$85:$B$133,"&lt;="&amp;J$11)</f>
        <v/>
      </c>
      <c r="K17" s="103">
        <f>'Q4 Assumptions'!$G$39*K$12+SUMIFS('Q4 Assumptions'!$C$85:$C$133,'Q4 Assumptions'!$D$85:$D$133,'Q4 Assumptions'!$A$39,'Q4 Assumptions'!$B$85:$B$133,"&gt;="&amp;K$10,'Q4 Assumptions'!$B$85:$B$133,"&lt;="&amp;K$11)</f>
        <v/>
      </c>
      <c r="L17" s="103">
        <f>'Q4 Assumptions'!$G$39*L$12+SUMIFS('Q4 Assumptions'!$C$85:$C$133,'Q4 Assumptions'!$D$85:$D$133,'Q4 Assumptions'!$A$39,'Q4 Assumptions'!$B$85:$B$133,"&gt;="&amp;L$10,'Q4 Assumptions'!$B$85:$B$133,"&lt;="&amp;L$11)</f>
        <v/>
      </c>
      <c r="M17" s="103">
        <f>'Q4 Assumptions'!$G$39*M$12+SUMIFS('Q4 Assumptions'!$C$85:$C$133,'Q4 Assumptions'!$D$85:$D$133,'Q4 Assumptions'!$A$39,'Q4 Assumptions'!$B$85:$B$133,"&gt;="&amp;M$10,'Q4 Assumptions'!$B$85:$B$133,"&lt;="&amp;M$11)</f>
        <v/>
      </c>
      <c r="N17" s="103">
        <f>'Q4 Assumptions'!$G$39*N$12+SUMIFS('Q4 Assumptions'!$C$85:$C$133,'Q4 Assumptions'!$D$85:$D$133,'Q4 Assumptions'!$A$39,'Q4 Assumptions'!$B$85:$B$133,"&gt;="&amp;N$10,'Q4 Assumptions'!$B$85:$B$133,"&lt;="&amp;N$11)</f>
        <v/>
      </c>
      <c r="O17" s="103">
        <f>'Q4 Assumptions'!$G$39*O$12+SUMIFS('Q4 Assumptions'!$C$85:$C$133,'Q4 Assumptions'!$D$85:$D$133,'Q4 Assumptions'!$A$39,'Q4 Assumptions'!$B$85:$B$133,"&gt;="&amp;O$10,'Q4 Assumptions'!$B$85:$B$133,"&lt;="&amp;O$11)</f>
        <v/>
      </c>
      <c r="P17" s="103">
        <f>'Q4 Assumptions'!$G$39*P$12+SUMIFS('Q4 Assumptions'!$C$85:$C$133,'Q4 Assumptions'!$D$85:$D$133,'Q4 Assumptions'!$A$39,'Q4 Assumptions'!$B$85:$B$133,"&gt;="&amp;P$10,'Q4 Assumptions'!$B$85:$B$133,"&lt;="&amp;P$11)</f>
        <v/>
      </c>
      <c r="Q17" s="103">
        <f>'Q4 Assumptions'!$G$39*Q$12+SUMIFS('Q4 Assumptions'!$C$85:$C$133,'Q4 Assumptions'!$D$85:$D$133,'Q4 Assumptions'!$A$39,'Q4 Assumptions'!$B$85:$B$133,"&gt;="&amp;Q$10,'Q4 Assumptions'!$B$85:$B$133,"&lt;="&amp;Q$11)</f>
        <v/>
      </c>
      <c r="R17" s="104">
        <f>SUM(D17:Q17)</f>
        <v/>
      </c>
    </row>
    <row r="18">
      <c r="A18" s="101" t="n"/>
      <c r="B18" s="100" t="inlineStr">
        <is>
          <t>Other operations</t>
        </is>
      </c>
      <c r="C18" s="102">
        <f>'Q4 Assumptions'!C40</f>
        <v/>
      </c>
      <c r="D18" s="103">
        <f>'Q4 Assumptions'!$G$40*D$12+SUMIFS('Q4 Assumptions'!$C$85:$C$133,'Q4 Assumptions'!$D$85:$D$133,'Q4 Assumptions'!$A$40,'Q4 Assumptions'!$B$85:$B$133,"&gt;="&amp;D$10,'Q4 Assumptions'!$B$85:$B$133,"&lt;="&amp;D$11)</f>
        <v/>
      </c>
      <c r="E18" s="103">
        <f>'Q4 Assumptions'!$G$40*E$12+SUMIFS('Q4 Assumptions'!$C$85:$C$133,'Q4 Assumptions'!$D$85:$D$133,'Q4 Assumptions'!$A$40,'Q4 Assumptions'!$B$85:$B$133,"&gt;="&amp;E$10,'Q4 Assumptions'!$B$85:$B$133,"&lt;="&amp;E$11)</f>
        <v/>
      </c>
      <c r="F18" s="103">
        <f>'Q4 Assumptions'!$G$40*F$12+SUMIFS('Q4 Assumptions'!$C$85:$C$133,'Q4 Assumptions'!$D$85:$D$133,'Q4 Assumptions'!$A$40,'Q4 Assumptions'!$B$85:$B$133,"&gt;="&amp;F$10,'Q4 Assumptions'!$B$85:$B$133,"&lt;="&amp;F$11)</f>
        <v/>
      </c>
      <c r="G18" s="103">
        <f>'Q4 Assumptions'!$G$40*G$12+SUMIFS('Q4 Assumptions'!$C$85:$C$133,'Q4 Assumptions'!$D$85:$D$133,'Q4 Assumptions'!$A$40,'Q4 Assumptions'!$B$85:$B$133,"&gt;="&amp;G$10,'Q4 Assumptions'!$B$85:$B$133,"&lt;="&amp;G$11)</f>
        <v/>
      </c>
      <c r="H18" s="103">
        <f>'Q4 Assumptions'!$G$40*H$12+SUMIFS('Q4 Assumptions'!$C$85:$C$133,'Q4 Assumptions'!$D$85:$D$133,'Q4 Assumptions'!$A$40,'Q4 Assumptions'!$B$85:$B$133,"&gt;="&amp;H$10,'Q4 Assumptions'!$B$85:$B$133,"&lt;="&amp;H$11)</f>
        <v/>
      </c>
      <c r="I18" s="103">
        <f>'Q4 Assumptions'!$G$40*I$12+SUMIFS('Q4 Assumptions'!$C$85:$C$133,'Q4 Assumptions'!$D$85:$D$133,'Q4 Assumptions'!$A$40,'Q4 Assumptions'!$B$85:$B$133,"&gt;="&amp;I$10,'Q4 Assumptions'!$B$85:$B$133,"&lt;="&amp;I$11)</f>
        <v/>
      </c>
      <c r="J18" s="103">
        <f>'Q4 Assumptions'!$G$40*J$12+SUMIFS('Q4 Assumptions'!$C$85:$C$133,'Q4 Assumptions'!$D$85:$D$133,'Q4 Assumptions'!$A$40,'Q4 Assumptions'!$B$85:$B$133,"&gt;="&amp;J$10,'Q4 Assumptions'!$B$85:$B$133,"&lt;="&amp;J$11)</f>
        <v/>
      </c>
      <c r="K18" s="103">
        <f>'Q4 Assumptions'!$G$40*K$12+SUMIFS('Q4 Assumptions'!$C$85:$C$133,'Q4 Assumptions'!$D$85:$D$133,'Q4 Assumptions'!$A$40,'Q4 Assumptions'!$B$85:$B$133,"&gt;="&amp;K$10,'Q4 Assumptions'!$B$85:$B$133,"&lt;="&amp;K$11)</f>
        <v/>
      </c>
      <c r="L18" s="103">
        <f>'Q4 Assumptions'!$G$40*L$12+SUMIFS('Q4 Assumptions'!$C$85:$C$133,'Q4 Assumptions'!$D$85:$D$133,'Q4 Assumptions'!$A$40,'Q4 Assumptions'!$B$85:$B$133,"&gt;="&amp;L$10,'Q4 Assumptions'!$B$85:$B$133,"&lt;="&amp;L$11)</f>
        <v/>
      </c>
      <c r="M18" s="103">
        <f>'Q4 Assumptions'!$G$40*M$12+SUMIFS('Q4 Assumptions'!$C$85:$C$133,'Q4 Assumptions'!$D$85:$D$133,'Q4 Assumptions'!$A$40,'Q4 Assumptions'!$B$85:$B$133,"&gt;="&amp;M$10,'Q4 Assumptions'!$B$85:$B$133,"&lt;="&amp;M$11)</f>
        <v/>
      </c>
      <c r="N18" s="103">
        <f>'Q4 Assumptions'!$G$40*N$12+SUMIFS('Q4 Assumptions'!$C$85:$C$133,'Q4 Assumptions'!$D$85:$D$133,'Q4 Assumptions'!$A$40,'Q4 Assumptions'!$B$85:$B$133,"&gt;="&amp;N$10,'Q4 Assumptions'!$B$85:$B$133,"&lt;="&amp;N$11)</f>
        <v/>
      </c>
      <c r="O18" s="103">
        <f>'Q4 Assumptions'!$G$40*O$12+SUMIFS('Q4 Assumptions'!$C$85:$C$133,'Q4 Assumptions'!$D$85:$D$133,'Q4 Assumptions'!$A$40,'Q4 Assumptions'!$B$85:$B$133,"&gt;="&amp;O$10,'Q4 Assumptions'!$B$85:$B$133,"&lt;="&amp;O$11)</f>
        <v/>
      </c>
      <c r="P18" s="103">
        <f>'Q4 Assumptions'!$G$40*P$12+SUMIFS('Q4 Assumptions'!$C$85:$C$133,'Q4 Assumptions'!$D$85:$D$133,'Q4 Assumptions'!$A$40,'Q4 Assumptions'!$B$85:$B$133,"&gt;="&amp;P$10,'Q4 Assumptions'!$B$85:$B$133,"&lt;="&amp;P$11)</f>
        <v/>
      </c>
      <c r="Q18" s="103">
        <f>'Q4 Assumptions'!$G$40*Q$12+SUMIFS('Q4 Assumptions'!$C$85:$C$133,'Q4 Assumptions'!$D$85:$D$133,'Q4 Assumptions'!$A$40,'Q4 Assumptions'!$B$85:$B$133,"&gt;="&amp;Q$10,'Q4 Assumptions'!$B$85:$B$133,"&lt;="&amp;Q$11)</f>
        <v/>
      </c>
      <c r="R18" s="104">
        <f>SUM(D18:Q18)</f>
        <v/>
      </c>
    </row>
    <row r="19">
      <c r="A19" s="101" t="n"/>
      <c r="B19" s="101" t="n"/>
      <c r="C19" s="104">
        <f>SUM(C14:C18)</f>
        <v/>
      </c>
      <c r="D19" s="104">
        <f>SUM(D14:D18)</f>
        <v/>
      </c>
      <c r="E19" s="104">
        <f>SUM(E14:E18)</f>
        <v/>
      </c>
      <c r="F19" s="104">
        <f>SUM(F14:F18)</f>
        <v/>
      </c>
      <c r="G19" s="104">
        <f>SUM(G14:G18)</f>
        <v/>
      </c>
      <c r="H19" s="104">
        <f>SUM(H14:H18)</f>
        <v/>
      </c>
      <c r="I19" s="104">
        <f>SUM(I14:I18)</f>
        <v/>
      </c>
      <c r="J19" s="104">
        <f>SUM(J14:J18)</f>
        <v/>
      </c>
      <c r="K19" s="104">
        <f>SUM(K14:K18)</f>
        <v/>
      </c>
      <c r="L19" s="104">
        <f>SUM(L14:L18)</f>
        <v/>
      </c>
      <c r="M19" s="104">
        <f>SUM(M14:M18)</f>
        <v/>
      </c>
      <c r="N19" s="104">
        <f>SUM(N14:N18)</f>
        <v/>
      </c>
      <c r="O19" s="104">
        <f>SUM(O14:O18)</f>
        <v/>
      </c>
      <c r="P19" s="104">
        <f>SUM(P14:P18)</f>
        <v/>
      </c>
      <c r="Q19" s="104">
        <f>SUM(Q14:Q18)</f>
        <v/>
      </c>
      <c r="R19" s="104">
        <f>SUM(R14:R18)</f>
        <v/>
      </c>
    </row>
    <row r="20">
      <c r="A20" s="100" t="inlineStr">
        <is>
          <t>Cash paid for</t>
        </is>
      </c>
      <c r="B20" s="101" t="n"/>
      <c r="C20" s="101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1" t="n"/>
      <c r="M20" s="101" t="n"/>
      <c r="N20" s="101" t="n"/>
      <c r="O20" s="101" t="n"/>
      <c r="P20" s="101" t="n"/>
      <c r="Q20" s="101" t="n"/>
      <c r="R20" s="101" t="n"/>
    </row>
    <row r="21">
      <c r="A21" s="101" t="n"/>
      <c r="B21" s="100" t="inlineStr">
        <is>
          <t>Inventory purchases</t>
        </is>
      </c>
      <c r="C21" s="102">
        <f>'Q4 Assumptions'!C41</f>
        <v/>
      </c>
      <c r="D21" s="103">
        <f>'Q4 Assumptions'!$G$41*D$12+SUMIFS('Q4 Assumptions'!$C$85:$C$133,'Q4 Assumptions'!$D$85:$D$133,'Q4 Assumptions'!$A$41,'Q4 Assumptions'!$B$85:$B$133,"&gt;="&amp;D$10,'Q4 Assumptions'!$B$85:$B$133,"&lt;="&amp;D$11)+D87</f>
        <v/>
      </c>
      <c r="E21" s="103">
        <f>'Q4 Assumptions'!$G$41*E$12+SUMIFS('Q4 Assumptions'!$C$85:$C$133,'Q4 Assumptions'!$D$85:$D$133,'Q4 Assumptions'!$A$41,'Q4 Assumptions'!$B$85:$B$133,"&gt;="&amp;E$10,'Q4 Assumptions'!$B$85:$B$133,"&lt;="&amp;E$11)+E87</f>
        <v/>
      </c>
      <c r="F21" s="103">
        <f>'Q4 Assumptions'!$G$41*F$12+SUMIFS('Q4 Assumptions'!$C$85:$C$133,'Q4 Assumptions'!$D$85:$D$133,'Q4 Assumptions'!$A$41,'Q4 Assumptions'!$B$85:$B$133,"&gt;="&amp;F$10,'Q4 Assumptions'!$B$85:$B$133,"&lt;="&amp;F$11)+F87</f>
        <v/>
      </c>
      <c r="G21" s="103">
        <f>'Q4 Assumptions'!$G$41*G$12+SUMIFS('Q4 Assumptions'!$C$85:$C$133,'Q4 Assumptions'!$D$85:$D$133,'Q4 Assumptions'!$A$41,'Q4 Assumptions'!$B$85:$B$133,"&gt;="&amp;G$10,'Q4 Assumptions'!$B$85:$B$133,"&lt;="&amp;G$11)+G87</f>
        <v/>
      </c>
      <c r="H21" s="103">
        <f>'Q4 Assumptions'!$G$41*H$12+SUMIFS('Q4 Assumptions'!$C$85:$C$133,'Q4 Assumptions'!$D$85:$D$133,'Q4 Assumptions'!$A$41,'Q4 Assumptions'!$B$85:$B$133,"&gt;="&amp;H$10,'Q4 Assumptions'!$B$85:$B$133,"&lt;="&amp;H$11)+H87</f>
        <v/>
      </c>
      <c r="I21" s="103">
        <f>'Q4 Assumptions'!$G$41*I$12+SUMIFS('Q4 Assumptions'!$C$85:$C$133,'Q4 Assumptions'!$D$85:$D$133,'Q4 Assumptions'!$A$41,'Q4 Assumptions'!$B$85:$B$133,"&gt;="&amp;I$10,'Q4 Assumptions'!$B$85:$B$133,"&lt;="&amp;I$11)+I87</f>
        <v/>
      </c>
      <c r="J21" s="103">
        <f>'Q4 Assumptions'!$G$41*J$12+SUMIFS('Q4 Assumptions'!$C$85:$C$133,'Q4 Assumptions'!$D$85:$D$133,'Q4 Assumptions'!$A$41,'Q4 Assumptions'!$B$85:$B$133,"&gt;="&amp;J$10,'Q4 Assumptions'!$B$85:$B$133,"&lt;="&amp;J$11)+J87</f>
        <v/>
      </c>
      <c r="K21" s="103">
        <f>'Q4 Assumptions'!$G$41*K$12+SUMIFS('Q4 Assumptions'!$C$85:$C$133,'Q4 Assumptions'!$D$85:$D$133,'Q4 Assumptions'!$A$41,'Q4 Assumptions'!$B$85:$B$133,"&gt;="&amp;K$10,'Q4 Assumptions'!$B$85:$B$133,"&lt;="&amp;K$11)+K87</f>
        <v/>
      </c>
      <c r="L21" s="103">
        <f>'Q4 Assumptions'!$G$41*L$12+SUMIFS('Q4 Assumptions'!$C$85:$C$133,'Q4 Assumptions'!$D$85:$D$133,'Q4 Assumptions'!$A$41,'Q4 Assumptions'!$B$85:$B$133,"&gt;="&amp;L$10,'Q4 Assumptions'!$B$85:$B$133,"&lt;="&amp;L$11)+L87</f>
        <v/>
      </c>
      <c r="M21" s="103">
        <f>'Q4 Assumptions'!$G$41*M$12+SUMIFS('Q4 Assumptions'!$C$85:$C$133,'Q4 Assumptions'!$D$85:$D$133,'Q4 Assumptions'!$A$41,'Q4 Assumptions'!$B$85:$B$133,"&gt;="&amp;M$10,'Q4 Assumptions'!$B$85:$B$133,"&lt;="&amp;M$11)+M87</f>
        <v/>
      </c>
      <c r="N21" s="103">
        <f>'Q4 Assumptions'!$G$41*N$12+SUMIFS('Q4 Assumptions'!$C$85:$C$133,'Q4 Assumptions'!$D$85:$D$133,'Q4 Assumptions'!$A$41,'Q4 Assumptions'!$B$85:$B$133,"&gt;="&amp;N$10,'Q4 Assumptions'!$B$85:$B$133,"&lt;="&amp;N$11)+N87</f>
        <v/>
      </c>
      <c r="O21" s="103">
        <f>'Q4 Assumptions'!$G$41*O$12+SUMIFS('Q4 Assumptions'!$C$85:$C$133,'Q4 Assumptions'!$D$85:$D$133,'Q4 Assumptions'!$A$41,'Q4 Assumptions'!$B$85:$B$133,"&gt;="&amp;O$10,'Q4 Assumptions'!$B$85:$B$133,"&lt;="&amp;O$11)+O87</f>
        <v/>
      </c>
      <c r="P21" s="103">
        <f>'Q4 Assumptions'!$G$41*P$12+SUMIFS('Q4 Assumptions'!$C$85:$C$133,'Q4 Assumptions'!$D$85:$D$133,'Q4 Assumptions'!$A$41,'Q4 Assumptions'!$B$85:$B$133,"&gt;="&amp;P$10,'Q4 Assumptions'!$B$85:$B$133,"&lt;="&amp;P$11)+P87</f>
        <v/>
      </c>
      <c r="Q21" s="103">
        <f>'Q4 Assumptions'!$G$41*Q$12+SUMIFS('Q4 Assumptions'!$C$85:$C$133,'Q4 Assumptions'!$D$85:$D$133,'Q4 Assumptions'!$A$41,'Q4 Assumptions'!$B$85:$B$133,"&gt;="&amp;Q$10,'Q4 Assumptions'!$B$85:$B$133,"&lt;="&amp;Q$11)+Q87</f>
        <v/>
      </c>
      <c r="R21" s="104">
        <f>SUM(D21:Q21)</f>
        <v/>
      </c>
    </row>
    <row r="22">
      <c r="A22" s="101" t="n"/>
      <c r="B22" s="100" t="inlineStr">
        <is>
          <t>Distribution Fee</t>
        </is>
      </c>
      <c r="C22" s="102">
        <f>'Q4 Assumptions'!C42</f>
        <v/>
      </c>
      <c r="D22" s="103">
        <f>'Q4 Assumptions'!$G$42*D$12+SUMIFS('Q4 Assumptions'!$C$85:$C$133,'Q4 Assumptions'!$D$85:$D$133,'Q4 Assumptions'!$A$42,'Q4 Assumptions'!$B$85:$B$133,"&gt;="&amp;D$10,'Q4 Assumptions'!$B$85:$B$133,"&lt;="&amp;D$11)</f>
        <v/>
      </c>
      <c r="E22" s="103">
        <f>'Q4 Assumptions'!$G$42*E$12+SUMIFS('Q4 Assumptions'!$C$85:$C$133,'Q4 Assumptions'!$D$85:$D$133,'Q4 Assumptions'!$A$42,'Q4 Assumptions'!$B$85:$B$133,"&gt;="&amp;E$10,'Q4 Assumptions'!$B$85:$B$133,"&lt;="&amp;E$11)</f>
        <v/>
      </c>
      <c r="F22" s="103">
        <f>'Q4 Assumptions'!$G$42*F$12+SUMIFS('Q4 Assumptions'!$C$85:$C$133,'Q4 Assumptions'!$D$85:$D$133,'Q4 Assumptions'!$A$42,'Q4 Assumptions'!$B$85:$B$133,"&gt;="&amp;F$10,'Q4 Assumptions'!$B$85:$B$133,"&lt;="&amp;F$11)</f>
        <v/>
      </c>
      <c r="G22" s="103">
        <f>'Q4 Assumptions'!$G$42*G$12+SUMIFS('Q4 Assumptions'!$C$85:$C$133,'Q4 Assumptions'!$D$85:$D$133,'Q4 Assumptions'!$A$42,'Q4 Assumptions'!$B$85:$B$133,"&gt;="&amp;G$10,'Q4 Assumptions'!$B$85:$B$133,"&lt;="&amp;G$11)</f>
        <v/>
      </c>
      <c r="H22" s="103">
        <f>'Q4 Assumptions'!$G$42*H$12+SUMIFS('Q4 Assumptions'!$C$85:$C$133,'Q4 Assumptions'!$D$85:$D$133,'Q4 Assumptions'!$A$42,'Q4 Assumptions'!$B$85:$B$133,"&gt;="&amp;H$10,'Q4 Assumptions'!$B$85:$B$133,"&lt;="&amp;H$11)</f>
        <v/>
      </c>
      <c r="I22" s="103">
        <f>'Q4 Assumptions'!$G$42*I$12+SUMIFS('Q4 Assumptions'!$C$85:$C$133,'Q4 Assumptions'!$D$85:$D$133,'Q4 Assumptions'!$A$42,'Q4 Assumptions'!$B$85:$B$133,"&gt;="&amp;I$10,'Q4 Assumptions'!$B$85:$B$133,"&lt;="&amp;I$11)</f>
        <v/>
      </c>
      <c r="J22" s="103">
        <f>'Q4 Assumptions'!$G$42*J$12+SUMIFS('Q4 Assumptions'!$C$85:$C$133,'Q4 Assumptions'!$D$85:$D$133,'Q4 Assumptions'!$A$42,'Q4 Assumptions'!$B$85:$B$133,"&gt;="&amp;J$10,'Q4 Assumptions'!$B$85:$B$133,"&lt;="&amp;J$11)</f>
        <v/>
      </c>
      <c r="K22" s="103">
        <f>'Q4 Assumptions'!$G$42*K$12+SUMIFS('Q4 Assumptions'!$C$85:$C$133,'Q4 Assumptions'!$D$85:$D$133,'Q4 Assumptions'!$A$42,'Q4 Assumptions'!$B$85:$B$133,"&gt;="&amp;K$10,'Q4 Assumptions'!$B$85:$B$133,"&lt;="&amp;K$11)</f>
        <v/>
      </c>
      <c r="L22" s="103">
        <f>'Q4 Assumptions'!$G$42*L$12+SUMIFS('Q4 Assumptions'!$C$85:$C$133,'Q4 Assumptions'!$D$85:$D$133,'Q4 Assumptions'!$A$42,'Q4 Assumptions'!$B$85:$B$133,"&gt;="&amp;L$10,'Q4 Assumptions'!$B$85:$B$133,"&lt;="&amp;L$11)</f>
        <v/>
      </c>
      <c r="M22" s="103">
        <f>'Q4 Assumptions'!$G$42*M$12+SUMIFS('Q4 Assumptions'!$C$85:$C$133,'Q4 Assumptions'!$D$85:$D$133,'Q4 Assumptions'!$A$42,'Q4 Assumptions'!$B$85:$B$133,"&gt;="&amp;M$10,'Q4 Assumptions'!$B$85:$B$133,"&lt;="&amp;M$11)</f>
        <v/>
      </c>
      <c r="N22" s="103">
        <f>'Q4 Assumptions'!$G$42*N$12+SUMIFS('Q4 Assumptions'!$C$85:$C$133,'Q4 Assumptions'!$D$85:$D$133,'Q4 Assumptions'!$A$42,'Q4 Assumptions'!$B$85:$B$133,"&gt;="&amp;N$10,'Q4 Assumptions'!$B$85:$B$133,"&lt;="&amp;N$11)</f>
        <v/>
      </c>
      <c r="O22" s="103">
        <f>'Q4 Assumptions'!$G$42*O$12+SUMIFS('Q4 Assumptions'!$C$85:$C$133,'Q4 Assumptions'!$D$85:$D$133,'Q4 Assumptions'!$A$42,'Q4 Assumptions'!$B$85:$B$133,"&gt;="&amp;O$10,'Q4 Assumptions'!$B$85:$B$133,"&lt;="&amp;O$11)</f>
        <v/>
      </c>
      <c r="P22" s="103">
        <f>'Q4 Assumptions'!$G$42*P$12+SUMIFS('Q4 Assumptions'!$C$85:$C$133,'Q4 Assumptions'!$D$85:$D$133,'Q4 Assumptions'!$A$42,'Q4 Assumptions'!$B$85:$B$133,"&gt;="&amp;P$10,'Q4 Assumptions'!$B$85:$B$133,"&lt;="&amp;P$11)</f>
        <v/>
      </c>
      <c r="Q22" s="103">
        <f>'Q4 Assumptions'!$G$42*Q$12+SUMIFS('Q4 Assumptions'!$C$85:$C$133,'Q4 Assumptions'!$D$85:$D$133,'Q4 Assumptions'!$A$42,'Q4 Assumptions'!$B$85:$B$133,"&gt;="&amp;Q$10,'Q4 Assumptions'!$B$85:$B$133,"&lt;="&amp;Q$11)</f>
        <v/>
      </c>
      <c r="R22" s="104">
        <f>SUM(D22:Q22)</f>
        <v/>
      </c>
    </row>
    <row r="23">
      <c r="A23" s="101" t="n"/>
      <c r="B23" s="100" t="inlineStr">
        <is>
          <t>Deposit</t>
        </is>
      </c>
      <c r="C23" s="102">
        <f>'Q4 Assumptions'!C43</f>
        <v/>
      </c>
      <c r="D23" s="103">
        <f>'Q4 Assumptions'!$G$43*D$12+SUMIFS('Q4 Assumptions'!$C$85:$C$133,'Q4 Assumptions'!$D$85:$D$133,'Q4 Assumptions'!$A$43,'Q4 Assumptions'!$B$85:$B$133,"&gt;="&amp;D$10,'Q4 Assumptions'!$B$85:$B$133,"&lt;="&amp;D$11)</f>
        <v/>
      </c>
      <c r="E23" s="103">
        <f>'Q4 Assumptions'!$G$43*E$12+SUMIFS('Q4 Assumptions'!$C$85:$C$133,'Q4 Assumptions'!$D$85:$D$133,'Q4 Assumptions'!$A$43,'Q4 Assumptions'!$B$85:$B$133,"&gt;="&amp;E$10,'Q4 Assumptions'!$B$85:$B$133,"&lt;="&amp;E$11)</f>
        <v/>
      </c>
      <c r="F23" s="103">
        <f>'Q4 Assumptions'!$G$43*F$12+SUMIFS('Q4 Assumptions'!$C$85:$C$133,'Q4 Assumptions'!$D$85:$D$133,'Q4 Assumptions'!$A$43,'Q4 Assumptions'!$B$85:$B$133,"&gt;="&amp;F$10,'Q4 Assumptions'!$B$85:$B$133,"&lt;="&amp;F$11)</f>
        <v/>
      </c>
      <c r="G23" s="103">
        <f>'Q4 Assumptions'!$G$43*G$12+SUMIFS('Q4 Assumptions'!$C$85:$C$133,'Q4 Assumptions'!$D$85:$D$133,'Q4 Assumptions'!$A$43,'Q4 Assumptions'!$B$85:$B$133,"&gt;="&amp;G$10,'Q4 Assumptions'!$B$85:$B$133,"&lt;="&amp;G$11)</f>
        <v/>
      </c>
      <c r="H23" s="103">
        <f>'Q4 Assumptions'!$G$43*H$12+SUMIFS('Q4 Assumptions'!$C$85:$C$133,'Q4 Assumptions'!$D$85:$D$133,'Q4 Assumptions'!$A$43,'Q4 Assumptions'!$B$85:$B$133,"&gt;="&amp;H$10,'Q4 Assumptions'!$B$85:$B$133,"&lt;="&amp;H$11)</f>
        <v/>
      </c>
      <c r="I23" s="103">
        <f>'Q4 Assumptions'!$G$43*I$12+SUMIFS('Q4 Assumptions'!$C$85:$C$133,'Q4 Assumptions'!$D$85:$D$133,'Q4 Assumptions'!$A$43,'Q4 Assumptions'!$B$85:$B$133,"&gt;="&amp;I$10,'Q4 Assumptions'!$B$85:$B$133,"&lt;="&amp;I$11)</f>
        <v/>
      </c>
      <c r="J23" s="103">
        <f>'Q4 Assumptions'!$G$43*J$12+SUMIFS('Q4 Assumptions'!$C$85:$C$133,'Q4 Assumptions'!$D$85:$D$133,'Q4 Assumptions'!$A$43,'Q4 Assumptions'!$B$85:$B$133,"&gt;="&amp;J$10,'Q4 Assumptions'!$B$85:$B$133,"&lt;="&amp;J$11)</f>
        <v/>
      </c>
      <c r="K23" s="103">
        <f>'Q4 Assumptions'!$G$43*K$12+SUMIFS('Q4 Assumptions'!$C$85:$C$133,'Q4 Assumptions'!$D$85:$D$133,'Q4 Assumptions'!$A$43,'Q4 Assumptions'!$B$85:$B$133,"&gt;="&amp;K$10,'Q4 Assumptions'!$B$85:$B$133,"&lt;="&amp;K$11)</f>
        <v/>
      </c>
      <c r="L23" s="103">
        <f>'Q4 Assumptions'!$G$43*L$12+SUMIFS('Q4 Assumptions'!$C$85:$C$133,'Q4 Assumptions'!$D$85:$D$133,'Q4 Assumptions'!$A$43,'Q4 Assumptions'!$B$85:$B$133,"&gt;="&amp;L$10,'Q4 Assumptions'!$B$85:$B$133,"&lt;="&amp;L$11)</f>
        <v/>
      </c>
      <c r="M23" s="103">
        <f>'Q4 Assumptions'!$G$43*M$12+SUMIFS('Q4 Assumptions'!$C$85:$C$133,'Q4 Assumptions'!$D$85:$D$133,'Q4 Assumptions'!$A$43,'Q4 Assumptions'!$B$85:$B$133,"&gt;="&amp;M$10,'Q4 Assumptions'!$B$85:$B$133,"&lt;="&amp;M$11)</f>
        <v/>
      </c>
      <c r="N23" s="103">
        <f>'Q4 Assumptions'!$G$43*N$12+SUMIFS('Q4 Assumptions'!$C$85:$C$133,'Q4 Assumptions'!$D$85:$D$133,'Q4 Assumptions'!$A$43,'Q4 Assumptions'!$B$85:$B$133,"&gt;="&amp;N$10,'Q4 Assumptions'!$B$85:$B$133,"&lt;="&amp;N$11)</f>
        <v/>
      </c>
      <c r="O23" s="103">
        <f>'Q4 Assumptions'!$G$43*O$12+SUMIFS('Q4 Assumptions'!$C$85:$C$133,'Q4 Assumptions'!$D$85:$D$133,'Q4 Assumptions'!$A$43,'Q4 Assumptions'!$B$85:$B$133,"&gt;="&amp;O$10,'Q4 Assumptions'!$B$85:$B$133,"&lt;="&amp;O$11)</f>
        <v/>
      </c>
      <c r="P23" s="103">
        <f>'Q4 Assumptions'!$G$43*P$12+SUMIFS('Q4 Assumptions'!$C$85:$C$133,'Q4 Assumptions'!$D$85:$D$133,'Q4 Assumptions'!$A$43,'Q4 Assumptions'!$B$85:$B$133,"&gt;="&amp;P$10,'Q4 Assumptions'!$B$85:$B$133,"&lt;="&amp;P$11)</f>
        <v/>
      </c>
      <c r="Q23" s="103">
        <f>'Q4 Assumptions'!$G$43*Q$12+SUMIFS('Q4 Assumptions'!$C$85:$C$133,'Q4 Assumptions'!$D$85:$D$133,'Q4 Assumptions'!$A$43,'Q4 Assumptions'!$B$85:$B$133,"&gt;="&amp;Q$10,'Q4 Assumptions'!$B$85:$B$133,"&lt;="&amp;Q$11)</f>
        <v/>
      </c>
      <c r="R23" s="104">
        <f>SUM(D23:Q23)</f>
        <v/>
      </c>
    </row>
    <row r="24">
      <c r="A24" s="101" t="n"/>
      <c r="B24" s="100" t="inlineStr">
        <is>
          <t>HQ Operation</t>
        </is>
      </c>
      <c r="C24" s="102">
        <f>'Q4 Assumptions'!C44</f>
        <v/>
      </c>
      <c r="D24" s="103">
        <f>'Q4 Assumptions'!$G$44*D$12+SUMIFS('Q4 Assumptions'!$C$85:$C$133,'Q4 Assumptions'!$D$85:$D$133,'Q4 Assumptions'!$A$44,'Q4 Assumptions'!$B$85:$B$133,"&gt;="&amp;D$10,'Q4 Assumptions'!$B$85:$B$133,"&lt;="&amp;D$11)</f>
        <v/>
      </c>
      <c r="E24" s="103">
        <f>'Q4 Assumptions'!$G$44*E$12+SUMIFS('Q4 Assumptions'!$C$85:$C$133,'Q4 Assumptions'!$D$85:$D$133,'Q4 Assumptions'!$A$44,'Q4 Assumptions'!$B$85:$B$133,"&gt;="&amp;E$10,'Q4 Assumptions'!$B$85:$B$133,"&lt;="&amp;E$11)</f>
        <v/>
      </c>
      <c r="F24" s="103">
        <f>'Q4 Assumptions'!$G$44*F$12+SUMIFS('Q4 Assumptions'!$C$85:$C$133,'Q4 Assumptions'!$D$85:$D$133,'Q4 Assumptions'!$A$44,'Q4 Assumptions'!$B$85:$B$133,"&gt;="&amp;F$10,'Q4 Assumptions'!$B$85:$B$133,"&lt;="&amp;F$11)</f>
        <v/>
      </c>
      <c r="G24" s="103">
        <f>'Q4 Assumptions'!$G$44*G$12+SUMIFS('Q4 Assumptions'!$C$85:$C$133,'Q4 Assumptions'!$D$85:$D$133,'Q4 Assumptions'!$A$44,'Q4 Assumptions'!$B$85:$B$133,"&gt;="&amp;G$10,'Q4 Assumptions'!$B$85:$B$133,"&lt;="&amp;G$11)</f>
        <v/>
      </c>
      <c r="H24" s="103">
        <f>'Q4 Assumptions'!$G$44*H$12+SUMIFS('Q4 Assumptions'!$C$85:$C$133,'Q4 Assumptions'!$D$85:$D$133,'Q4 Assumptions'!$A$44,'Q4 Assumptions'!$B$85:$B$133,"&gt;="&amp;H$10,'Q4 Assumptions'!$B$85:$B$133,"&lt;="&amp;H$11)</f>
        <v/>
      </c>
      <c r="I24" s="103">
        <f>'Q4 Assumptions'!$G$44*I$12+SUMIFS('Q4 Assumptions'!$C$85:$C$133,'Q4 Assumptions'!$D$85:$D$133,'Q4 Assumptions'!$A$44,'Q4 Assumptions'!$B$85:$B$133,"&gt;="&amp;I$10,'Q4 Assumptions'!$B$85:$B$133,"&lt;="&amp;I$11)</f>
        <v/>
      </c>
      <c r="J24" s="103">
        <f>'Q4 Assumptions'!$G$44*J$12+SUMIFS('Q4 Assumptions'!$C$85:$C$133,'Q4 Assumptions'!$D$85:$D$133,'Q4 Assumptions'!$A$44,'Q4 Assumptions'!$B$85:$B$133,"&gt;="&amp;J$10,'Q4 Assumptions'!$B$85:$B$133,"&lt;="&amp;J$11)</f>
        <v/>
      </c>
      <c r="K24" s="103">
        <f>'Q4 Assumptions'!$G$44*K$12+SUMIFS('Q4 Assumptions'!$C$85:$C$133,'Q4 Assumptions'!$D$85:$D$133,'Q4 Assumptions'!$A$44,'Q4 Assumptions'!$B$85:$B$133,"&gt;="&amp;K$10,'Q4 Assumptions'!$B$85:$B$133,"&lt;="&amp;K$11)</f>
        <v/>
      </c>
      <c r="L24" s="103">
        <f>'Q4 Assumptions'!$G$44*L$12+SUMIFS('Q4 Assumptions'!$C$85:$C$133,'Q4 Assumptions'!$D$85:$D$133,'Q4 Assumptions'!$A$44,'Q4 Assumptions'!$B$85:$B$133,"&gt;="&amp;L$10,'Q4 Assumptions'!$B$85:$B$133,"&lt;="&amp;L$11)</f>
        <v/>
      </c>
      <c r="M24" s="103">
        <f>'Q4 Assumptions'!$G$44*M$12+SUMIFS('Q4 Assumptions'!$C$85:$C$133,'Q4 Assumptions'!$D$85:$D$133,'Q4 Assumptions'!$A$44,'Q4 Assumptions'!$B$85:$B$133,"&gt;="&amp;M$10,'Q4 Assumptions'!$B$85:$B$133,"&lt;="&amp;M$11)</f>
        <v/>
      </c>
      <c r="N24" s="103">
        <f>'Q4 Assumptions'!$G$44*N$12+SUMIFS('Q4 Assumptions'!$C$85:$C$133,'Q4 Assumptions'!$D$85:$D$133,'Q4 Assumptions'!$A$44,'Q4 Assumptions'!$B$85:$B$133,"&gt;="&amp;N$10,'Q4 Assumptions'!$B$85:$B$133,"&lt;="&amp;N$11)</f>
        <v/>
      </c>
      <c r="O24" s="103">
        <f>'Q4 Assumptions'!$G$44*O$12+SUMIFS('Q4 Assumptions'!$C$85:$C$133,'Q4 Assumptions'!$D$85:$D$133,'Q4 Assumptions'!$A$44,'Q4 Assumptions'!$B$85:$B$133,"&gt;="&amp;O$10,'Q4 Assumptions'!$B$85:$B$133,"&lt;="&amp;O$11)</f>
        <v/>
      </c>
      <c r="P24" s="103">
        <f>'Q4 Assumptions'!$G$44*P$12+SUMIFS('Q4 Assumptions'!$C$85:$C$133,'Q4 Assumptions'!$D$85:$D$133,'Q4 Assumptions'!$A$44,'Q4 Assumptions'!$B$85:$B$133,"&gt;="&amp;P$10,'Q4 Assumptions'!$B$85:$B$133,"&lt;="&amp;P$11)</f>
        <v/>
      </c>
      <c r="Q24" s="103">
        <f>'Q4 Assumptions'!$G$44*Q$12+SUMIFS('Q4 Assumptions'!$C$85:$C$133,'Q4 Assumptions'!$D$85:$D$133,'Q4 Assumptions'!$A$44,'Q4 Assumptions'!$B$85:$B$133,"&gt;="&amp;Q$10,'Q4 Assumptions'!$B$85:$B$133,"&lt;="&amp;Q$11)</f>
        <v/>
      </c>
      <c r="R24" s="104">
        <f>SUM(D24:Q24)</f>
        <v/>
      </c>
    </row>
    <row r="25">
      <c r="A25" s="101" t="n"/>
      <c r="B25" s="100" t="inlineStr">
        <is>
          <t>Operation</t>
        </is>
      </c>
      <c r="C25" s="102">
        <f>'Q4 Assumptions'!C45</f>
        <v/>
      </c>
      <c r="D25" s="103">
        <f>'Q4 Assumptions'!$G$45*D$12+SUMIFS('Q4 Assumptions'!$C$85:$C$133,'Q4 Assumptions'!$D$85:$D$133,'Q4 Assumptions'!$A$45,'Q4 Assumptions'!$B$85:$B$133,"&gt;="&amp;D$10,'Q4 Assumptions'!$B$85:$B$133,"&lt;="&amp;D$11)</f>
        <v/>
      </c>
      <c r="E25" s="103">
        <f>'Q4 Assumptions'!$G$45*E$12+SUMIFS('Q4 Assumptions'!$C$85:$C$133,'Q4 Assumptions'!$D$85:$D$133,'Q4 Assumptions'!$A$45,'Q4 Assumptions'!$B$85:$B$133,"&gt;="&amp;E$10,'Q4 Assumptions'!$B$85:$B$133,"&lt;="&amp;E$11)</f>
        <v/>
      </c>
      <c r="F25" s="103">
        <f>'Q4 Assumptions'!$G$45*F$12+SUMIFS('Q4 Assumptions'!$C$85:$C$133,'Q4 Assumptions'!$D$85:$D$133,'Q4 Assumptions'!$A$45,'Q4 Assumptions'!$B$85:$B$133,"&gt;="&amp;F$10,'Q4 Assumptions'!$B$85:$B$133,"&lt;="&amp;F$11)</f>
        <v/>
      </c>
      <c r="G25" s="103">
        <f>'Q4 Assumptions'!$G$45*G$12+SUMIFS('Q4 Assumptions'!$C$85:$C$133,'Q4 Assumptions'!$D$85:$D$133,'Q4 Assumptions'!$A$45,'Q4 Assumptions'!$B$85:$B$133,"&gt;="&amp;G$10,'Q4 Assumptions'!$B$85:$B$133,"&lt;="&amp;G$11)</f>
        <v/>
      </c>
      <c r="H25" s="103">
        <f>'Q4 Assumptions'!$G$45*H$12+SUMIFS('Q4 Assumptions'!$C$85:$C$133,'Q4 Assumptions'!$D$85:$D$133,'Q4 Assumptions'!$A$45,'Q4 Assumptions'!$B$85:$B$133,"&gt;="&amp;H$10,'Q4 Assumptions'!$B$85:$B$133,"&lt;="&amp;H$11)</f>
        <v/>
      </c>
      <c r="I25" s="103">
        <f>'Q4 Assumptions'!$G$45*I$12+SUMIFS('Q4 Assumptions'!$C$85:$C$133,'Q4 Assumptions'!$D$85:$D$133,'Q4 Assumptions'!$A$45,'Q4 Assumptions'!$B$85:$B$133,"&gt;="&amp;I$10,'Q4 Assumptions'!$B$85:$B$133,"&lt;="&amp;I$11)</f>
        <v/>
      </c>
      <c r="J25" s="103">
        <f>'Q4 Assumptions'!$G$45*J$12+SUMIFS('Q4 Assumptions'!$C$85:$C$133,'Q4 Assumptions'!$D$85:$D$133,'Q4 Assumptions'!$A$45,'Q4 Assumptions'!$B$85:$B$133,"&gt;="&amp;J$10,'Q4 Assumptions'!$B$85:$B$133,"&lt;="&amp;J$11)</f>
        <v/>
      </c>
      <c r="K25" s="103">
        <f>'Q4 Assumptions'!$G$45*K$12+SUMIFS('Q4 Assumptions'!$C$85:$C$133,'Q4 Assumptions'!$D$85:$D$133,'Q4 Assumptions'!$A$45,'Q4 Assumptions'!$B$85:$B$133,"&gt;="&amp;K$10,'Q4 Assumptions'!$B$85:$B$133,"&lt;="&amp;K$11)</f>
        <v/>
      </c>
      <c r="L25" s="103">
        <f>'Q4 Assumptions'!$G$45*L$12+SUMIFS('Q4 Assumptions'!$C$85:$C$133,'Q4 Assumptions'!$D$85:$D$133,'Q4 Assumptions'!$A$45,'Q4 Assumptions'!$B$85:$B$133,"&gt;="&amp;L$10,'Q4 Assumptions'!$B$85:$B$133,"&lt;="&amp;L$11)</f>
        <v/>
      </c>
      <c r="M25" s="103">
        <f>'Q4 Assumptions'!$G$45*M$12+SUMIFS('Q4 Assumptions'!$C$85:$C$133,'Q4 Assumptions'!$D$85:$D$133,'Q4 Assumptions'!$A$45,'Q4 Assumptions'!$B$85:$B$133,"&gt;="&amp;M$10,'Q4 Assumptions'!$B$85:$B$133,"&lt;="&amp;M$11)</f>
        <v/>
      </c>
      <c r="N25" s="103">
        <f>'Q4 Assumptions'!$G$45*N$12+SUMIFS('Q4 Assumptions'!$C$85:$C$133,'Q4 Assumptions'!$D$85:$D$133,'Q4 Assumptions'!$A$45,'Q4 Assumptions'!$B$85:$B$133,"&gt;="&amp;N$10,'Q4 Assumptions'!$B$85:$B$133,"&lt;="&amp;N$11)</f>
        <v/>
      </c>
      <c r="O25" s="103">
        <f>'Q4 Assumptions'!$G$45*O$12+SUMIFS('Q4 Assumptions'!$C$85:$C$133,'Q4 Assumptions'!$D$85:$D$133,'Q4 Assumptions'!$A$45,'Q4 Assumptions'!$B$85:$B$133,"&gt;="&amp;O$10,'Q4 Assumptions'!$B$85:$B$133,"&lt;="&amp;O$11)</f>
        <v/>
      </c>
      <c r="P25" s="103">
        <f>'Q4 Assumptions'!$G$45*P$12+SUMIFS('Q4 Assumptions'!$C$85:$C$133,'Q4 Assumptions'!$D$85:$D$133,'Q4 Assumptions'!$A$45,'Q4 Assumptions'!$B$85:$B$133,"&gt;="&amp;P$10,'Q4 Assumptions'!$B$85:$B$133,"&lt;="&amp;P$11)</f>
        <v/>
      </c>
      <c r="Q25" s="103">
        <f>'Q4 Assumptions'!$G$45*Q$12+SUMIFS('Q4 Assumptions'!$C$85:$C$133,'Q4 Assumptions'!$D$85:$D$133,'Q4 Assumptions'!$A$45,'Q4 Assumptions'!$B$85:$B$133,"&gt;="&amp;Q$10,'Q4 Assumptions'!$B$85:$B$133,"&lt;="&amp;Q$11)</f>
        <v/>
      </c>
      <c r="R25" s="104">
        <f>SUM(D25:Q25)</f>
        <v/>
      </c>
    </row>
    <row r="26">
      <c r="A26" s="101" t="n"/>
      <c r="B26" s="100" t="inlineStr">
        <is>
          <t>Marketing</t>
        </is>
      </c>
      <c r="C26" s="102">
        <f>'Q4 Assumptions'!C46</f>
        <v/>
      </c>
      <c r="D26" s="103">
        <f>'Q4 Assumptions'!$G$46*D$12+SUMIFS('Q4 Assumptions'!$C$85:$C$133,'Q4 Assumptions'!$D$85:$D$133,'Q4 Assumptions'!$A$46,'Q4 Assumptions'!$B$85:$B$133,"&gt;="&amp;D$10,'Q4 Assumptions'!$B$85:$B$133,"&lt;="&amp;D$11)</f>
        <v/>
      </c>
      <c r="E26" s="103">
        <f>'Q4 Assumptions'!$G$46*E$12+SUMIFS('Q4 Assumptions'!$C$85:$C$133,'Q4 Assumptions'!$D$85:$D$133,'Q4 Assumptions'!$A$46,'Q4 Assumptions'!$B$85:$B$133,"&gt;="&amp;E$10,'Q4 Assumptions'!$B$85:$B$133,"&lt;="&amp;E$11)</f>
        <v/>
      </c>
      <c r="F26" s="103">
        <f>'Q4 Assumptions'!$G$46*F$12+SUMIFS('Q4 Assumptions'!$C$85:$C$133,'Q4 Assumptions'!$D$85:$D$133,'Q4 Assumptions'!$A$46,'Q4 Assumptions'!$B$85:$B$133,"&gt;="&amp;F$10,'Q4 Assumptions'!$B$85:$B$133,"&lt;="&amp;F$11)</f>
        <v/>
      </c>
      <c r="G26" s="103">
        <f>'Q4 Assumptions'!$G$46*G$12+SUMIFS('Q4 Assumptions'!$C$85:$C$133,'Q4 Assumptions'!$D$85:$D$133,'Q4 Assumptions'!$A$46,'Q4 Assumptions'!$B$85:$B$133,"&gt;="&amp;G$10,'Q4 Assumptions'!$B$85:$B$133,"&lt;="&amp;G$11)</f>
        <v/>
      </c>
      <c r="H26" s="103">
        <f>'Q4 Assumptions'!$G$46*H$12+SUMIFS('Q4 Assumptions'!$C$85:$C$133,'Q4 Assumptions'!$D$85:$D$133,'Q4 Assumptions'!$A$46,'Q4 Assumptions'!$B$85:$B$133,"&gt;="&amp;H$10,'Q4 Assumptions'!$B$85:$B$133,"&lt;="&amp;H$11)</f>
        <v/>
      </c>
      <c r="I26" s="103">
        <f>'Q4 Assumptions'!$G$46*I$12+SUMIFS('Q4 Assumptions'!$C$85:$C$133,'Q4 Assumptions'!$D$85:$D$133,'Q4 Assumptions'!$A$46,'Q4 Assumptions'!$B$85:$B$133,"&gt;="&amp;I$10,'Q4 Assumptions'!$B$85:$B$133,"&lt;="&amp;I$11)</f>
        <v/>
      </c>
      <c r="J26" s="103">
        <f>'Q4 Assumptions'!$G$46*J$12+SUMIFS('Q4 Assumptions'!$C$85:$C$133,'Q4 Assumptions'!$D$85:$D$133,'Q4 Assumptions'!$A$46,'Q4 Assumptions'!$B$85:$B$133,"&gt;="&amp;J$10,'Q4 Assumptions'!$B$85:$B$133,"&lt;="&amp;J$11)</f>
        <v/>
      </c>
      <c r="K26" s="103">
        <f>'Q4 Assumptions'!$G$46*K$12+SUMIFS('Q4 Assumptions'!$C$85:$C$133,'Q4 Assumptions'!$D$85:$D$133,'Q4 Assumptions'!$A$46,'Q4 Assumptions'!$B$85:$B$133,"&gt;="&amp;K$10,'Q4 Assumptions'!$B$85:$B$133,"&lt;="&amp;K$11)</f>
        <v/>
      </c>
      <c r="L26" s="103">
        <f>'Q4 Assumptions'!$G$46*L$12+SUMIFS('Q4 Assumptions'!$C$85:$C$133,'Q4 Assumptions'!$D$85:$D$133,'Q4 Assumptions'!$A$46,'Q4 Assumptions'!$B$85:$B$133,"&gt;="&amp;L$10,'Q4 Assumptions'!$B$85:$B$133,"&lt;="&amp;L$11)</f>
        <v/>
      </c>
      <c r="M26" s="103">
        <f>'Q4 Assumptions'!$G$46*M$12+SUMIFS('Q4 Assumptions'!$C$85:$C$133,'Q4 Assumptions'!$D$85:$D$133,'Q4 Assumptions'!$A$46,'Q4 Assumptions'!$B$85:$B$133,"&gt;="&amp;M$10,'Q4 Assumptions'!$B$85:$B$133,"&lt;="&amp;M$11)</f>
        <v/>
      </c>
      <c r="N26" s="103">
        <f>'Q4 Assumptions'!$G$46*N$12+SUMIFS('Q4 Assumptions'!$C$85:$C$133,'Q4 Assumptions'!$D$85:$D$133,'Q4 Assumptions'!$A$46,'Q4 Assumptions'!$B$85:$B$133,"&gt;="&amp;N$10,'Q4 Assumptions'!$B$85:$B$133,"&lt;="&amp;N$11)</f>
        <v/>
      </c>
      <c r="O26" s="103">
        <f>'Q4 Assumptions'!$G$46*O$12+SUMIFS('Q4 Assumptions'!$C$85:$C$133,'Q4 Assumptions'!$D$85:$D$133,'Q4 Assumptions'!$A$46,'Q4 Assumptions'!$B$85:$B$133,"&gt;="&amp;O$10,'Q4 Assumptions'!$B$85:$B$133,"&lt;="&amp;O$11)</f>
        <v/>
      </c>
      <c r="P26" s="103">
        <f>'Q4 Assumptions'!$G$46*P$12+SUMIFS('Q4 Assumptions'!$C$85:$C$133,'Q4 Assumptions'!$D$85:$D$133,'Q4 Assumptions'!$A$46,'Q4 Assumptions'!$B$85:$B$133,"&gt;="&amp;P$10,'Q4 Assumptions'!$B$85:$B$133,"&lt;="&amp;P$11)</f>
        <v/>
      </c>
      <c r="Q26" s="103">
        <f>'Q4 Assumptions'!$G$46*Q$12+SUMIFS('Q4 Assumptions'!$C$85:$C$133,'Q4 Assumptions'!$D$85:$D$133,'Q4 Assumptions'!$A$46,'Q4 Assumptions'!$B$85:$B$133,"&gt;="&amp;Q$10,'Q4 Assumptions'!$B$85:$B$133,"&lt;="&amp;Q$11)</f>
        <v/>
      </c>
      <c r="R26" s="104">
        <f>SUM(D26:Q26)</f>
        <v/>
      </c>
    </row>
    <row r="27">
      <c r="A27" s="101" t="n"/>
      <c r="B27" s="100" t="inlineStr">
        <is>
          <t>Profit sharing</t>
        </is>
      </c>
      <c r="C27" s="102">
        <f>'Q4 Assumptions'!C47</f>
        <v/>
      </c>
      <c r="D27" s="103">
        <f>'Q4 Assumptions'!$G$47*D$12+SUMIFS('Q4 Assumptions'!$C$85:$C$133,'Q4 Assumptions'!$D$85:$D$133,'Q4 Assumptions'!$A$47,'Q4 Assumptions'!$B$85:$B$133,"&gt;="&amp;D$10,'Q4 Assumptions'!$B$85:$B$133,"&lt;="&amp;D$11)</f>
        <v/>
      </c>
      <c r="E27" s="103">
        <f>'Q4 Assumptions'!$G$47*E$12+SUMIFS('Q4 Assumptions'!$C$85:$C$133,'Q4 Assumptions'!$D$85:$D$133,'Q4 Assumptions'!$A$47,'Q4 Assumptions'!$B$85:$B$133,"&gt;="&amp;E$10,'Q4 Assumptions'!$B$85:$B$133,"&lt;="&amp;E$11)</f>
        <v/>
      </c>
      <c r="F27" s="103">
        <f>'Q4 Assumptions'!$G$47*F$12+SUMIFS('Q4 Assumptions'!$C$85:$C$133,'Q4 Assumptions'!$D$85:$D$133,'Q4 Assumptions'!$A$47,'Q4 Assumptions'!$B$85:$B$133,"&gt;="&amp;F$10,'Q4 Assumptions'!$B$85:$B$133,"&lt;="&amp;F$11)</f>
        <v/>
      </c>
      <c r="G27" s="103">
        <f>'Q4 Assumptions'!$G$47*G$12+SUMIFS('Q4 Assumptions'!$C$85:$C$133,'Q4 Assumptions'!$D$85:$D$133,'Q4 Assumptions'!$A$47,'Q4 Assumptions'!$B$85:$B$133,"&gt;="&amp;G$10,'Q4 Assumptions'!$B$85:$B$133,"&lt;="&amp;G$11)</f>
        <v/>
      </c>
      <c r="H27" s="103">
        <f>'Q4 Assumptions'!$G$47*H$12+SUMIFS('Q4 Assumptions'!$C$85:$C$133,'Q4 Assumptions'!$D$85:$D$133,'Q4 Assumptions'!$A$47,'Q4 Assumptions'!$B$85:$B$133,"&gt;="&amp;H$10,'Q4 Assumptions'!$B$85:$B$133,"&lt;="&amp;H$11)</f>
        <v/>
      </c>
      <c r="I27" s="103">
        <f>'Q4 Assumptions'!$G$47*I$12+SUMIFS('Q4 Assumptions'!$C$85:$C$133,'Q4 Assumptions'!$D$85:$D$133,'Q4 Assumptions'!$A$47,'Q4 Assumptions'!$B$85:$B$133,"&gt;="&amp;I$10,'Q4 Assumptions'!$B$85:$B$133,"&lt;="&amp;I$11)</f>
        <v/>
      </c>
      <c r="J27" s="103">
        <f>'Q4 Assumptions'!$G$47*J$12+SUMIFS('Q4 Assumptions'!$C$85:$C$133,'Q4 Assumptions'!$D$85:$D$133,'Q4 Assumptions'!$A$47,'Q4 Assumptions'!$B$85:$B$133,"&gt;="&amp;J$10,'Q4 Assumptions'!$B$85:$B$133,"&lt;="&amp;J$11)</f>
        <v/>
      </c>
      <c r="K27" s="103">
        <f>'Q4 Assumptions'!$G$47*K$12+SUMIFS('Q4 Assumptions'!$C$85:$C$133,'Q4 Assumptions'!$D$85:$D$133,'Q4 Assumptions'!$A$47,'Q4 Assumptions'!$B$85:$B$133,"&gt;="&amp;K$10,'Q4 Assumptions'!$B$85:$B$133,"&lt;="&amp;K$11)</f>
        <v/>
      </c>
      <c r="L27" s="103">
        <f>'Q4 Assumptions'!$G$47*L$12+SUMIFS('Q4 Assumptions'!$C$85:$C$133,'Q4 Assumptions'!$D$85:$D$133,'Q4 Assumptions'!$A$47,'Q4 Assumptions'!$B$85:$B$133,"&gt;="&amp;L$10,'Q4 Assumptions'!$B$85:$B$133,"&lt;="&amp;L$11)</f>
        <v/>
      </c>
      <c r="M27" s="103">
        <f>'Q4 Assumptions'!$G$47*M$12+SUMIFS('Q4 Assumptions'!$C$85:$C$133,'Q4 Assumptions'!$D$85:$D$133,'Q4 Assumptions'!$A$47,'Q4 Assumptions'!$B$85:$B$133,"&gt;="&amp;M$10,'Q4 Assumptions'!$B$85:$B$133,"&lt;="&amp;M$11)</f>
        <v/>
      </c>
      <c r="N27" s="103">
        <f>'Q4 Assumptions'!$G$47*N$12+SUMIFS('Q4 Assumptions'!$C$85:$C$133,'Q4 Assumptions'!$D$85:$D$133,'Q4 Assumptions'!$A$47,'Q4 Assumptions'!$B$85:$B$133,"&gt;="&amp;N$10,'Q4 Assumptions'!$B$85:$B$133,"&lt;="&amp;N$11)</f>
        <v/>
      </c>
      <c r="O27" s="103">
        <f>'Q4 Assumptions'!$G$47*O$12+SUMIFS('Q4 Assumptions'!$C$85:$C$133,'Q4 Assumptions'!$D$85:$D$133,'Q4 Assumptions'!$A$47,'Q4 Assumptions'!$B$85:$B$133,"&gt;="&amp;O$10,'Q4 Assumptions'!$B$85:$B$133,"&lt;="&amp;O$11)</f>
        <v/>
      </c>
      <c r="P27" s="103">
        <f>'Q4 Assumptions'!$G$47*P$12+SUMIFS('Q4 Assumptions'!$C$85:$C$133,'Q4 Assumptions'!$D$85:$D$133,'Q4 Assumptions'!$A$47,'Q4 Assumptions'!$B$85:$B$133,"&gt;="&amp;P$10,'Q4 Assumptions'!$B$85:$B$133,"&lt;="&amp;P$11)</f>
        <v/>
      </c>
      <c r="Q27" s="103">
        <f>'Q4 Assumptions'!$G$47*Q$12+SUMIFS('Q4 Assumptions'!$C$85:$C$133,'Q4 Assumptions'!$D$85:$D$133,'Q4 Assumptions'!$A$47,'Q4 Assumptions'!$B$85:$B$133,"&gt;="&amp;Q$10,'Q4 Assumptions'!$B$85:$B$133,"&lt;="&amp;Q$11)</f>
        <v/>
      </c>
      <c r="R27" s="104">
        <f>SUM(D27:Q27)</f>
        <v/>
      </c>
    </row>
    <row r="28">
      <c r="A28" s="101" t="n"/>
      <c r="B28" s="100" t="inlineStr">
        <is>
          <t>Wage expenses</t>
        </is>
      </c>
      <c r="C28" s="102">
        <f>'Q4 Assumptions'!C48</f>
        <v/>
      </c>
      <c r="D28" s="103">
        <f>'Q4 Assumptions'!$G$48*D$12+SUMIFS('Q4 Assumptions'!$C$85:$C$133,'Q4 Assumptions'!$D$85:$D$133,'Q4 Assumptions'!$A$48,'Q4 Assumptions'!$B$85:$B$133,"&gt;="&amp;D$10,'Q4 Assumptions'!$B$85:$B$133,"&lt;="&amp;D$11)+D85</f>
        <v/>
      </c>
      <c r="E28" s="103">
        <f>'Q4 Assumptions'!$G$48*E$12+SUMIFS('Q4 Assumptions'!$C$85:$C$133,'Q4 Assumptions'!$D$85:$D$133,'Q4 Assumptions'!$A$48,'Q4 Assumptions'!$B$85:$B$133,"&gt;="&amp;E$10,'Q4 Assumptions'!$B$85:$B$133,"&lt;="&amp;E$11)+E85</f>
        <v/>
      </c>
      <c r="F28" s="103">
        <f>'Q4 Assumptions'!$G$48*F$12+SUMIFS('Q4 Assumptions'!$C$85:$C$133,'Q4 Assumptions'!$D$85:$D$133,'Q4 Assumptions'!$A$48,'Q4 Assumptions'!$B$85:$B$133,"&gt;="&amp;F$10,'Q4 Assumptions'!$B$85:$B$133,"&lt;="&amp;F$11)+F85</f>
        <v/>
      </c>
      <c r="G28" s="103">
        <f>'Q4 Assumptions'!$G$48*G$12+SUMIFS('Q4 Assumptions'!$C$85:$C$133,'Q4 Assumptions'!$D$85:$D$133,'Q4 Assumptions'!$A$48,'Q4 Assumptions'!$B$85:$B$133,"&gt;="&amp;G$10,'Q4 Assumptions'!$B$85:$B$133,"&lt;="&amp;G$11)+G85</f>
        <v/>
      </c>
      <c r="H28" s="103">
        <f>'Q4 Assumptions'!$G$48*H$12+SUMIFS('Q4 Assumptions'!$C$85:$C$133,'Q4 Assumptions'!$D$85:$D$133,'Q4 Assumptions'!$A$48,'Q4 Assumptions'!$B$85:$B$133,"&gt;="&amp;H$10,'Q4 Assumptions'!$B$85:$B$133,"&lt;="&amp;H$11)+H85</f>
        <v/>
      </c>
      <c r="I28" s="103">
        <f>'Q4 Assumptions'!$G$48*I$12+SUMIFS('Q4 Assumptions'!$C$85:$C$133,'Q4 Assumptions'!$D$85:$D$133,'Q4 Assumptions'!$A$48,'Q4 Assumptions'!$B$85:$B$133,"&gt;="&amp;I$10,'Q4 Assumptions'!$B$85:$B$133,"&lt;="&amp;I$11)+I85</f>
        <v/>
      </c>
      <c r="J28" s="103">
        <f>'Q4 Assumptions'!$G$48*J$12+SUMIFS('Q4 Assumptions'!$C$85:$C$133,'Q4 Assumptions'!$D$85:$D$133,'Q4 Assumptions'!$A$48,'Q4 Assumptions'!$B$85:$B$133,"&gt;="&amp;J$10,'Q4 Assumptions'!$B$85:$B$133,"&lt;="&amp;J$11)+J85</f>
        <v/>
      </c>
      <c r="K28" s="103">
        <f>'Q4 Assumptions'!$G$48*K$12+SUMIFS('Q4 Assumptions'!$C$85:$C$133,'Q4 Assumptions'!$D$85:$D$133,'Q4 Assumptions'!$A$48,'Q4 Assumptions'!$B$85:$B$133,"&gt;="&amp;K$10,'Q4 Assumptions'!$B$85:$B$133,"&lt;="&amp;K$11)+K85</f>
        <v/>
      </c>
      <c r="L28" s="103">
        <f>'Q4 Assumptions'!$G$48*L$12+SUMIFS('Q4 Assumptions'!$C$85:$C$133,'Q4 Assumptions'!$D$85:$D$133,'Q4 Assumptions'!$A$48,'Q4 Assumptions'!$B$85:$B$133,"&gt;="&amp;L$10,'Q4 Assumptions'!$B$85:$B$133,"&lt;="&amp;L$11)+L85</f>
        <v/>
      </c>
      <c r="M28" s="103">
        <f>'Q4 Assumptions'!$G$48*M$12+SUMIFS('Q4 Assumptions'!$C$85:$C$133,'Q4 Assumptions'!$D$85:$D$133,'Q4 Assumptions'!$A$48,'Q4 Assumptions'!$B$85:$B$133,"&gt;="&amp;M$10,'Q4 Assumptions'!$B$85:$B$133,"&lt;="&amp;M$11)+M85</f>
        <v/>
      </c>
      <c r="N28" s="103">
        <f>'Q4 Assumptions'!$G$48*N$12+SUMIFS('Q4 Assumptions'!$C$85:$C$133,'Q4 Assumptions'!$D$85:$D$133,'Q4 Assumptions'!$A$48,'Q4 Assumptions'!$B$85:$B$133,"&gt;="&amp;N$10,'Q4 Assumptions'!$B$85:$B$133,"&lt;="&amp;N$11)+N85</f>
        <v/>
      </c>
      <c r="O28" s="103">
        <f>'Q4 Assumptions'!$G$48*O$12+SUMIFS('Q4 Assumptions'!$C$85:$C$133,'Q4 Assumptions'!$D$85:$D$133,'Q4 Assumptions'!$A$48,'Q4 Assumptions'!$B$85:$B$133,"&gt;="&amp;O$10,'Q4 Assumptions'!$B$85:$B$133,"&lt;="&amp;O$11)+O85</f>
        <v/>
      </c>
      <c r="P28" s="103">
        <f>'Q4 Assumptions'!$G$48*P$12+SUMIFS('Q4 Assumptions'!$C$85:$C$133,'Q4 Assumptions'!$D$85:$D$133,'Q4 Assumptions'!$A$48,'Q4 Assumptions'!$B$85:$B$133,"&gt;="&amp;P$10,'Q4 Assumptions'!$B$85:$B$133,"&lt;="&amp;P$11)+P85</f>
        <v/>
      </c>
      <c r="Q28" s="103">
        <f>'Q4 Assumptions'!$G$48*Q$12+SUMIFS('Q4 Assumptions'!$C$85:$C$133,'Q4 Assumptions'!$D$85:$D$133,'Q4 Assumptions'!$A$48,'Q4 Assumptions'!$B$85:$B$133,"&gt;="&amp;Q$10,'Q4 Assumptions'!$B$85:$B$133,"&lt;="&amp;Q$11)+Q85</f>
        <v/>
      </c>
      <c r="R28" s="104">
        <f>SUM(D28:Q28)</f>
        <v/>
      </c>
    </row>
    <row r="29">
      <c r="A29" s="101" t="n"/>
      <c r="B29" s="100" t="inlineStr">
        <is>
          <t>Bank Charges</t>
        </is>
      </c>
      <c r="C29" s="102">
        <f>'Q4 Assumptions'!C49</f>
        <v/>
      </c>
      <c r="D29" s="103">
        <f>'Q4 Assumptions'!$G$49*D$12+SUMIFS('Q4 Assumptions'!$C$85:$C$133,'Q4 Assumptions'!$D$85:$D$133,'Q4 Assumptions'!$A$49,'Q4 Assumptions'!$B$85:$B$133,"&gt;="&amp;D$10,'Q4 Assumptions'!$B$85:$B$133,"&lt;="&amp;D$11)</f>
        <v/>
      </c>
      <c r="E29" s="103">
        <f>'Q4 Assumptions'!$G$49*E$12+SUMIFS('Q4 Assumptions'!$C$85:$C$133,'Q4 Assumptions'!$D$85:$D$133,'Q4 Assumptions'!$A$49,'Q4 Assumptions'!$B$85:$B$133,"&gt;="&amp;E$10,'Q4 Assumptions'!$B$85:$B$133,"&lt;="&amp;E$11)</f>
        <v/>
      </c>
      <c r="F29" s="103">
        <f>'Q4 Assumptions'!$G$49*F$12+SUMIFS('Q4 Assumptions'!$C$85:$C$133,'Q4 Assumptions'!$D$85:$D$133,'Q4 Assumptions'!$A$49,'Q4 Assumptions'!$B$85:$B$133,"&gt;="&amp;F$10,'Q4 Assumptions'!$B$85:$B$133,"&lt;="&amp;F$11)</f>
        <v/>
      </c>
      <c r="G29" s="103">
        <f>'Q4 Assumptions'!$G$49*G$12+SUMIFS('Q4 Assumptions'!$C$85:$C$133,'Q4 Assumptions'!$D$85:$D$133,'Q4 Assumptions'!$A$49,'Q4 Assumptions'!$B$85:$B$133,"&gt;="&amp;G$10,'Q4 Assumptions'!$B$85:$B$133,"&lt;="&amp;G$11)</f>
        <v/>
      </c>
      <c r="H29" s="103">
        <f>'Q4 Assumptions'!$G$49*H$12+SUMIFS('Q4 Assumptions'!$C$85:$C$133,'Q4 Assumptions'!$D$85:$D$133,'Q4 Assumptions'!$A$49,'Q4 Assumptions'!$B$85:$B$133,"&gt;="&amp;H$10,'Q4 Assumptions'!$B$85:$B$133,"&lt;="&amp;H$11)</f>
        <v/>
      </c>
      <c r="I29" s="103">
        <f>'Q4 Assumptions'!$G$49*I$12+SUMIFS('Q4 Assumptions'!$C$85:$C$133,'Q4 Assumptions'!$D$85:$D$133,'Q4 Assumptions'!$A$49,'Q4 Assumptions'!$B$85:$B$133,"&gt;="&amp;I$10,'Q4 Assumptions'!$B$85:$B$133,"&lt;="&amp;I$11)</f>
        <v/>
      </c>
      <c r="J29" s="103">
        <f>'Q4 Assumptions'!$G$49*J$12+SUMIFS('Q4 Assumptions'!$C$85:$C$133,'Q4 Assumptions'!$D$85:$D$133,'Q4 Assumptions'!$A$49,'Q4 Assumptions'!$B$85:$B$133,"&gt;="&amp;J$10,'Q4 Assumptions'!$B$85:$B$133,"&lt;="&amp;J$11)</f>
        <v/>
      </c>
      <c r="K29" s="103">
        <f>'Q4 Assumptions'!$G$49*K$12+SUMIFS('Q4 Assumptions'!$C$85:$C$133,'Q4 Assumptions'!$D$85:$D$133,'Q4 Assumptions'!$A$49,'Q4 Assumptions'!$B$85:$B$133,"&gt;="&amp;K$10,'Q4 Assumptions'!$B$85:$B$133,"&lt;="&amp;K$11)</f>
        <v/>
      </c>
      <c r="L29" s="103">
        <f>'Q4 Assumptions'!$G$49*L$12+SUMIFS('Q4 Assumptions'!$C$85:$C$133,'Q4 Assumptions'!$D$85:$D$133,'Q4 Assumptions'!$A$49,'Q4 Assumptions'!$B$85:$B$133,"&gt;="&amp;L$10,'Q4 Assumptions'!$B$85:$B$133,"&lt;="&amp;L$11)</f>
        <v/>
      </c>
      <c r="M29" s="103">
        <f>'Q4 Assumptions'!$G$49*M$12+SUMIFS('Q4 Assumptions'!$C$85:$C$133,'Q4 Assumptions'!$D$85:$D$133,'Q4 Assumptions'!$A$49,'Q4 Assumptions'!$B$85:$B$133,"&gt;="&amp;M$10,'Q4 Assumptions'!$B$85:$B$133,"&lt;="&amp;M$11)</f>
        <v/>
      </c>
      <c r="N29" s="103">
        <f>'Q4 Assumptions'!$G$49*N$12+SUMIFS('Q4 Assumptions'!$C$85:$C$133,'Q4 Assumptions'!$D$85:$D$133,'Q4 Assumptions'!$A$49,'Q4 Assumptions'!$B$85:$B$133,"&gt;="&amp;N$10,'Q4 Assumptions'!$B$85:$B$133,"&lt;="&amp;N$11)</f>
        <v/>
      </c>
      <c r="O29" s="103">
        <f>'Q4 Assumptions'!$G$49*O$12+SUMIFS('Q4 Assumptions'!$C$85:$C$133,'Q4 Assumptions'!$D$85:$D$133,'Q4 Assumptions'!$A$49,'Q4 Assumptions'!$B$85:$B$133,"&gt;="&amp;O$10,'Q4 Assumptions'!$B$85:$B$133,"&lt;="&amp;O$11)</f>
        <v/>
      </c>
      <c r="P29" s="103">
        <f>'Q4 Assumptions'!$G$49*P$12+SUMIFS('Q4 Assumptions'!$C$85:$C$133,'Q4 Assumptions'!$D$85:$D$133,'Q4 Assumptions'!$A$49,'Q4 Assumptions'!$B$85:$B$133,"&gt;="&amp;P$10,'Q4 Assumptions'!$B$85:$B$133,"&lt;="&amp;P$11)</f>
        <v/>
      </c>
      <c r="Q29" s="103">
        <f>'Q4 Assumptions'!$G$49*Q$12+SUMIFS('Q4 Assumptions'!$C$85:$C$133,'Q4 Assumptions'!$D$85:$D$133,'Q4 Assumptions'!$A$49,'Q4 Assumptions'!$B$85:$B$133,"&gt;="&amp;Q$10,'Q4 Assumptions'!$B$85:$B$133,"&lt;="&amp;Q$11)</f>
        <v/>
      </c>
      <c r="R29" s="104">
        <f>SUM(D29:Q29)</f>
        <v/>
      </c>
    </row>
    <row r="30">
      <c r="A30" s="101" t="n"/>
      <c r="B30" s="100" t="inlineStr">
        <is>
          <t>Income taxes</t>
        </is>
      </c>
      <c r="C30" s="102">
        <f>'Q4 Assumptions'!C50</f>
        <v/>
      </c>
      <c r="D30" s="103">
        <f>'Q4 Assumptions'!$G$50*D$12+SUMIFS('Q4 Assumptions'!$C$85:$C$133,'Q4 Assumptions'!$D$85:$D$133,'Q4 Assumptions'!$A$50,'Q4 Assumptions'!$B$85:$B$133,"&gt;="&amp;D$10,'Q4 Assumptions'!$B$85:$B$133,"&lt;="&amp;D$11)</f>
        <v/>
      </c>
      <c r="E30" s="103">
        <f>'Q4 Assumptions'!$G$50*E$12+SUMIFS('Q4 Assumptions'!$C$85:$C$133,'Q4 Assumptions'!$D$85:$D$133,'Q4 Assumptions'!$A$50,'Q4 Assumptions'!$B$85:$B$133,"&gt;="&amp;E$10,'Q4 Assumptions'!$B$85:$B$133,"&lt;="&amp;E$11)</f>
        <v/>
      </c>
      <c r="F30" s="103">
        <f>'Q4 Assumptions'!$G$50*F$12+SUMIFS('Q4 Assumptions'!$C$85:$C$133,'Q4 Assumptions'!$D$85:$D$133,'Q4 Assumptions'!$A$50,'Q4 Assumptions'!$B$85:$B$133,"&gt;="&amp;F$10,'Q4 Assumptions'!$B$85:$B$133,"&lt;="&amp;F$11)</f>
        <v/>
      </c>
      <c r="G30" s="103">
        <f>'Q4 Assumptions'!$G$50*G$12+SUMIFS('Q4 Assumptions'!$C$85:$C$133,'Q4 Assumptions'!$D$85:$D$133,'Q4 Assumptions'!$A$50,'Q4 Assumptions'!$B$85:$B$133,"&gt;="&amp;G$10,'Q4 Assumptions'!$B$85:$B$133,"&lt;="&amp;G$11)</f>
        <v/>
      </c>
      <c r="H30" s="103">
        <f>'Q4 Assumptions'!$G$50*H$12+SUMIFS('Q4 Assumptions'!$C$85:$C$133,'Q4 Assumptions'!$D$85:$D$133,'Q4 Assumptions'!$A$50,'Q4 Assumptions'!$B$85:$B$133,"&gt;="&amp;H$10,'Q4 Assumptions'!$B$85:$B$133,"&lt;="&amp;H$11)</f>
        <v/>
      </c>
      <c r="I30" s="103">
        <f>'Q4 Assumptions'!$G$50*I$12+SUMIFS('Q4 Assumptions'!$C$85:$C$133,'Q4 Assumptions'!$D$85:$D$133,'Q4 Assumptions'!$A$50,'Q4 Assumptions'!$B$85:$B$133,"&gt;="&amp;I$10,'Q4 Assumptions'!$B$85:$B$133,"&lt;="&amp;I$11)</f>
        <v/>
      </c>
      <c r="J30" s="103">
        <f>'Q4 Assumptions'!$G$50*J$12+SUMIFS('Q4 Assumptions'!$C$85:$C$133,'Q4 Assumptions'!$D$85:$D$133,'Q4 Assumptions'!$A$50,'Q4 Assumptions'!$B$85:$B$133,"&gt;="&amp;J$10,'Q4 Assumptions'!$B$85:$B$133,"&lt;="&amp;J$11)</f>
        <v/>
      </c>
      <c r="K30" s="103">
        <f>'Q4 Assumptions'!$G$50*K$12+SUMIFS('Q4 Assumptions'!$C$85:$C$133,'Q4 Assumptions'!$D$85:$D$133,'Q4 Assumptions'!$A$50,'Q4 Assumptions'!$B$85:$B$133,"&gt;="&amp;K$10,'Q4 Assumptions'!$B$85:$B$133,"&lt;="&amp;K$11)</f>
        <v/>
      </c>
      <c r="L30" s="103">
        <f>'Q4 Assumptions'!$G$50*L$12+SUMIFS('Q4 Assumptions'!$C$85:$C$133,'Q4 Assumptions'!$D$85:$D$133,'Q4 Assumptions'!$A$50,'Q4 Assumptions'!$B$85:$B$133,"&gt;="&amp;L$10,'Q4 Assumptions'!$B$85:$B$133,"&lt;="&amp;L$11)</f>
        <v/>
      </c>
      <c r="M30" s="103">
        <f>'Q4 Assumptions'!$G$50*M$12+SUMIFS('Q4 Assumptions'!$C$85:$C$133,'Q4 Assumptions'!$D$85:$D$133,'Q4 Assumptions'!$A$50,'Q4 Assumptions'!$B$85:$B$133,"&gt;="&amp;M$10,'Q4 Assumptions'!$B$85:$B$133,"&lt;="&amp;M$11)</f>
        <v/>
      </c>
      <c r="N30" s="103">
        <f>'Q4 Assumptions'!$G$50*N$12+SUMIFS('Q4 Assumptions'!$C$85:$C$133,'Q4 Assumptions'!$D$85:$D$133,'Q4 Assumptions'!$A$50,'Q4 Assumptions'!$B$85:$B$133,"&gt;="&amp;N$10,'Q4 Assumptions'!$B$85:$B$133,"&lt;="&amp;N$11)</f>
        <v/>
      </c>
      <c r="O30" s="103">
        <f>'Q4 Assumptions'!$G$50*O$12+SUMIFS('Q4 Assumptions'!$C$85:$C$133,'Q4 Assumptions'!$D$85:$D$133,'Q4 Assumptions'!$A$50,'Q4 Assumptions'!$B$85:$B$133,"&gt;="&amp;O$10,'Q4 Assumptions'!$B$85:$B$133,"&lt;="&amp;O$11)</f>
        <v/>
      </c>
      <c r="P30" s="103">
        <f>'Q4 Assumptions'!$G$50*P$12+SUMIFS('Q4 Assumptions'!$C$85:$C$133,'Q4 Assumptions'!$D$85:$D$133,'Q4 Assumptions'!$A$50,'Q4 Assumptions'!$B$85:$B$133,"&gt;="&amp;P$10,'Q4 Assumptions'!$B$85:$B$133,"&lt;="&amp;P$11)</f>
        <v/>
      </c>
      <c r="Q30" s="103">
        <f>'Q4 Assumptions'!$G$50*Q$12+SUMIFS('Q4 Assumptions'!$C$85:$C$133,'Q4 Assumptions'!$D$85:$D$133,'Q4 Assumptions'!$A$50,'Q4 Assumptions'!$B$85:$B$133,"&gt;="&amp;Q$10,'Q4 Assumptions'!$B$85:$B$133,"&lt;="&amp;Q$11)</f>
        <v/>
      </c>
      <c r="R30" s="104">
        <f>SUM(D30:Q30)</f>
        <v/>
      </c>
    </row>
    <row r="31">
      <c r="A31" s="101" t="n"/>
      <c r="B31" s="100" t="inlineStr">
        <is>
          <t>New Branches Expenses</t>
        </is>
      </c>
      <c r="C31" s="102">
        <f>'Q4 Assumptions'!C51</f>
        <v/>
      </c>
      <c r="D31" s="103">
        <f>'Q4 Assumptions'!$G$51*D$12+SUMIFS('Q4 Assumptions'!$C$85:$C$133,'Q4 Assumptions'!$D$85:$D$133,'Q4 Assumptions'!$A$51,'Q4 Assumptions'!$B$85:$B$133,"&gt;="&amp;D$10,'Q4 Assumptions'!$B$85:$B$133,"&lt;="&amp;D$11)</f>
        <v/>
      </c>
      <c r="E31" s="103">
        <f>'Q4 Assumptions'!$G$51*E$12+SUMIFS('Q4 Assumptions'!$C$85:$C$133,'Q4 Assumptions'!$D$85:$D$133,'Q4 Assumptions'!$A$51,'Q4 Assumptions'!$B$85:$B$133,"&gt;="&amp;E$10,'Q4 Assumptions'!$B$85:$B$133,"&lt;="&amp;E$11)</f>
        <v/>
      </c>
      <c r="F31" s="103">
        <f>'Q4 Assumptions'!$G$51*F$12+SUMIFS('Q4 Assumptions'!$C$85:$C$133,'Q4 Assumptions'!$D$85:$D$133,'Q4 Assumptions'!$A$51,'Q4 Assumptions'!$B$85:$B$133,"&gt;="&amp;F$10,'Q4 Assumptions'!$B$85:$B$133,"&lt;="&amp;F$11)</f>
        <v/>
      </c>
      <c r="G31" s="103">
        <f>'Q4 Assumptions'!$G$51*G$12+SUMIFS('Q4 Assumptions'!$C$85:$C$133,'Q4 Assumptions'!$D$85:$D$133,'Q4 Assumptions'!$A$51,'Q4 Assumptions'!$B$85:$B$133,"&gt;="&amp;G$10,'Q4 Assumptions'!$B$85:$B$133,"&lt;="&amp;G$11)</f>
        <v/>
      </c>
      <c r="H31" s="103">
        <f>'Q4 Assumptions'!$G$51*H$12+SUMIFS('Q4 Assumptions'!$C$85:$C$133,'Q4 Assumptions'!$D$85:$D$133,'Q4 Assumptions'!$A$51,'Q4 Assumptions'!$B$85:$B$133,"&gt;="&amp;H$10,'Q4 Assumptions'!$B$85:$B$133,"&lt;="&amp;H$11)</f>
        <v/>
      </c>
      <c r="I31" s="103">
        <f>'Q4 Assumptions'!$G$51*I$12+SUMIFS('Q4 Assumptions'!$C$85:$C$133,'Q4 Assumptions'!$D$85:$D$133,'Q4 Assumptions'!$A$51,'Q4 Assumptions'!$B$85:$B$133,"&gt;="&amp;I$10,'Q4 Assumptions'!$B$85:$B$133,"&lt;="&amp;I$11)</f>
        <v/>
      </c>
      <c r="J31" s="103">
        <f>'Q4 Assumptions'!$G$51*J$12+SUMIFS('Q4 Assumptions'!$C$85:$C$133,'Q4 Assumptions'!$D$85:$D$133,'Q4 Assumptions'!$A$51,'Q4 Assumptions'!$B$85:$B$133,"&gt;="&amp;J$10,'Q4 Assumptions'!$B$85:$B$133,"&lt;="&amp;J$11)</f>
        <v/>
      </c>
      <c r="K31" s="103">
        <f>'Q4 Assumptions'!$G$51*K$12+SUMIFS('Q4 Assumptions'!$C$85:$C$133,'Q4 Assumptions'!$D$85:$D$133,'Q4 Assumptions'!$A$51,'Q4 Assumptions'!$B$85:$B$133,"&gt;="&amp;K$10,'Q4 Assumptions'!$B$85:$B$133,"&lt;="&amp;K$11)</f>
        <v/>
      </c>
      <c r="L31" s="103">
        <f>'Q4 Assumptions'!$G$51*L$12+SUMIFS('Q4 Assumptions'!$C$85:$C$133,'Q4 Assumptions'!$D$85:$D$133,'Q4 Assumptions'!$A$51,'Q4 Assumptions'!$B$85:$B$133,"&gt;="&amp;L$10,'Q4 Assumptions'!$B$85:$B$133,"&lt;="&amp;L$11)</f>
        <v/>
      </c>
      <c r="M31" s="103">
        <f>'Q4 Assumptions'!$G$51*M$12+SUMIFS('Q4 Assumptions'!$C$85:$C$133,'Q4 Assumptions'!$D$85:$D$133,'Q4 Assumptions'!$A$51,'Q4 Assumptions'!$B$85:$B$133,"&gt;="&amp;M$10,'Q4 Assumptions'!$B$85:$B$133,"&lt;="&amp;M$11)</f>
        <v/>
      </c>
      <c r="N31" s="103">
        <f>'Q4 Assumptions'!$G$51*N$12+SUMIFS('Q4 Assumptions'!$C$85:$C$133,'Q4 Assumptions'!$D$85:$D$133,'Q4 Assumptions'!$A$51,'Q4 Assumptions'!$B$85:$B$133,"&gt;="&amp;N$10,'Q4 Assumptions'!$B$85:$B$133,"&lt;="&amp;N$11)</f>
        <v/>
      </c>
      <c r="O31" s="103">
        <f>'Q4 Assumptions'!$G$51*O$12+SUMIFS('Q4 Assumptions'!$C$85:$C$133,'Q4 Assumptions'!$D$85:$D$133,'Q4 Assumptions'!$A$51,'Q4 Assumptions'!$B$85:$B$133,"&gt;="&amp;O$10,'Q4 Assumptions'!$B$85:$B$133,"&lt;="&amp;O$11)</f>
        <v/>
      </c>
      <c r="P31" s="103">
        <f>'Q4 Assumptions'!$G$51*P$12+SUMIFS('Q4 Assumptions'!$C$85:$C$133,'Q4 Assumptions'!$D$85:$D$133,'Q4 Assumptions'!$A$51,'Q4 Assumptions'!$B$85:$B$133,"&gt;="&amp;P$10,'Q4 Assumptions'!$B$85:$B$133,"&lt;="&amp;P$11)</f>
        <v/>
      </c>
      <c r="Q31" s="103">
        <f>'Q4 Assumptions'!$G$51*Q$12+SUMIFS('Q4 Assumptions'!$C$85:$C$133,'Q4 Assumptions'!$D$85:$D$133,'Q4 Assumptions'!$A$51,'Q4 Assumptions'!$B$85:$B$133,"&gt;="&amp;Q$10,'Q4 Assumptions'!$B$85:$B$133,"&lt;="&amp;Q$11)</f>
        <v/>
      </c>
      <c r="R31" s="104">
        <f>SUM(D31:Q31)</f>
        <v/>
      </c>
    </row>
    <row r="32">
      <c r="A32" s="101" t="n"/>
      <c r="B32" s="100" t="inlineStr">
        <is>
          <t>Branch Expenditure &amp; Upkeep</t>
        </is>
      </c>
      <c r="C32" s="102">
        <f>'Q4 Assumptions'!C52</f>
        <v/>
      </c>
      <c r="D32" s="103">
        <f>'Q4 Assumptions'!$G$52*D$12+SUMIFS('Q4 Assumptions'!$C$85:$C$133,'Q4 Assumptions'!$D$85:$D$133,'Q4 Assumptions'!$A$52,'Q4 Assumptions'!$B$85:$B$133,"&gt;="&amp;D$10,'Q4 Assumptions'!$B$85:$B$133,"&lt;="&amp;D$11)+D86</f>
        <v/>
      </c>
      <c r="E32" s="103">
        <f>'Q4 Assumptions'!$G$52*E$12+SUMIFS('Q4 Assumptions'!$C$85:$C$133,'Q4 Assumptions'!$D$85:$D$133,'Q4 Assumptions'!$A$52,'Q4 Assumptions'!$B$85:$B$133,"&gt;="&amp;E$10,'Q4 Assumptions'!$B$85:$B$133,"&lt;="&amp;E$11)+E86</f>
        <v/>
      </c>
      <c r="F32" s="103">
        <f>'Q4 Assumptions'!$G$52*F$12+SUMIFS('Q4 Assumptions'!$C$85:$C$133,'Q4 Assumptions'!$D$85:$D$133,'Q4 Assumptions'!$A$52,'Q4 Assumptions'!$B$85:$B$133,"&gt;="&amp;F$10,'Q4 Assumptions'!$B$85:$B$133,"&lt;="&amp;F$11)+F86</f>
        <v/>
      </c>
      <c r="G32" s="103">
        <f>'Q4 Assumptions'!$G$52*G$12+SUMIFS('Q4 Assumptions'!$C$85:$C$133,'Q4 Assumptions'!$D$85:$D$133,'Q4 Assumptions'!$A$52,'Q4 Assumptions'!$B$85:$B$133,"&gt;="&amp;G$10,'Q4 Assumptions'!$B$85:$B$133,"&lt;="&amp;G$11)+G86</f>
        <v/>
      </c>
      <c r="H32" s="103">
        <f>'Q4 Assumptions'!$G$52*H$12+SUMIFS('Q4 Assumptions'!$C$85:$C$133,'Q4 Assumptions'!$D$85:$D$133,'Q4 Assumptions'!$A$52,'Q4 Assumptions'!$B$85:$B$133,"&gt;="&amp;H$10,'Q4 Assumptions'!$B$85:$B$133,"&lt;="&amp;H$11)+H86</f>
        <v/>
      </c>
      <c r="I32" s="103">
        <f>'Q4 Assumptions'!$G$52*I$12+SUMIFS('Q4 Assumptions'!$C$85:$C$133,'Q4 Assumptions'!$D$85:$D$133,'Q4 Assumptions'!$A$52,'Q4 Assumptions'!$B$85:$B$133,"&gt;="&amp;I$10,'Q4 Assumptions'!$B$85:$B$133,"&lt;="&amp;I$11)+I86</f>
        <v/>
      </c>
      <c r="J32" s="103">
        <f>'Q4 Assumptions'!$G$52*J$12+SUMIFS('Q4 Assumptions'!$C$85:$C$133,'Q4 Assumptions'!$D$85:$D$133,'Q4 Assumptions'!$A$52,'Q4 Assumptions'!$B$85:$B$133,"&gt;="&amp;J$10,'Q4 Assumptions'!$B$85:$B$133,"&lt;="&amp;J$11)+J86</f>
        <v/>
      </c>
      <c r="K32" s="103">
        <f>'Q4 Assumptions'!$G$52*K$12+SUMIFS('Q4 Assumptions'!$C$85:$C$133,'Q4 Assumptions'!$D$85:$D$133,'Q4 Assumptions'!$A$52,'Q4 Assumptions'!$B$85:$B$133,"&gt;="&amp;K$10,'Q4 Assumptions'!$B$85:$B$133,"&lt;="&amp;K$11)+K86</f>
        <v/>
      </c>
      <c r="L32" s="103">
        <f>'Q4 Assumptions'!$G$52*L$12+SUMIFS('Q4 Assumptions'!$C$85:$C$133,'Q4 Assumptions'!$D$85:$D$133,'Q4 Assumptions'!$A$52,'Q4 Assumptions'!$B$85:$B$133,"&gt;="&amp;L$10,'Q4 Assumptions'!$B$85:$B$133,"&lt;="&amp;L$11)+L86</f>
        <v/>
      </c>
      <c r="M32" s="103">
        <f>'Q4 Assumptions'!$G$52*M$12+SUMIFS('Q4 Assumptions'!$C$85:$C$133,'Q4 Assumptions'!$D$85:$D$133,'Q4 Assumptions'!$A$52,'Q4 Assumptions'!$B$85:$B$133,"&gt;="&amp;M$10,'Q4 Assumptions'!$B$85:$B$133,"&lt;="&amp;M$11)+M86</f>
        <v/>
      </c>
      <c r="N32" s="103">
        <f>'Q4 Assumptions'!$G$52*N$12+SUMIFS('Q4 Assumptions'!$C$85:$C$133,'Q4 Assumptions'!$D$85:$D$133,'Q4 Assumptions'!$A$52,'Q4 Assumptions'!$B$85:$B$133,"&gt;="&amp;N$10,'Q4 Assumptions'!$B$85:$B$133,"&lt;="&amp;N$11)+N86</f>
        <v/>
      </c>
      <c r="O32" s="103">
        <f>'Q4 Assumptions'!$G$52*O$12+SUMIFS('Q4 Assumptions'!$C$85:$C$133,'Q4 Assumptions'!$D$85:$D$133,'Q4 Assumptions'!$A$52,'Q4 Assumptions'!$B$85:$B$133,"&gt;="&amp;O$10,'Q4 Assumptions'!$B$85:$B$133,"&lt;="&amp;O$11)+O86</f>
        <v/>
      </c>
      <c r="P32" s="103">
        <f>'Q4 Assumptions'!$G$52*P$12+SUMIFS('Q4 Assumptions'!$C$85:$C$133,'Q4 Assumptions'!$D$85:$D$133,'Q4 Assumptions'!$A$52,'Q4 Assumptions'!$B$85:$B$133,"&gt;="&amp;P$10,'Q4 Assumptions'!$B$85:$B$133,"&lt;="&amp;P$11)+P86</f>
        <v/>
      </c>
      <c r="Q32" s="103">
        <f>'Q4 Assumptions'!$G$52*Q$12+SUMIFS('Q4 Assumptions'!$C$85:$C$133,'Q4 Assumptions'!$D$85:$D$133,'Q4 Assumptions'!$A$52,'Q4 Assumptions'!$B$85:$B$133,"&gt;="&amp;Q$10,'Q4 Assumptions'!$B$85:$B$133,"&lt;="&amp;Q$11)+Q86</f>
        <v/>
      </c>
      <c r="R32" s="104">
        <f>SUM(D32:Q32)</f>
        <v/>
      </c>
    </row>
    <row r="33">
      <c r="A33" s="101" t="n"/>
      <c r="B33" s="100" t="inlineStr">
        <is>
          <t>Credit Card</t>
        </is>
      </c>
      <c r="C33" s="102">
        <f>'Q4 Assumptions'!C53</f>
        <v/>
      </c>
      <c r="D33" s="103">
        <f>'Q4 Assumptions'!$G$53*D$12+SUMIFS('Q4 Assumptions'!$C$85:$C$133,'Q4 Assumptions'!$D$85:$D$133,'Q4 Assumptions'!$A$53,'Q4 Assumptions'!$B$85:$B$133,"&gt;="&amp;D$10,'Q4 Assumptions'!$B$85:$B$133,"&lt;="&amp;D$11)</f>
        <v/>
      </c>
      <c r="E33" s="103">
        <f>'Q4 Assumptions'!$G$53*E$12+SUMIFS('Q4 Assumptions'!$C$85:$C$133,'Q4 Assumptions'!$D$85:$D$133,'Q4 Assumptions'!$A$53,'Q4 Assumptions'!$B$85:$B$133,"&gt;="&amp;E$10,'Q4 Assumptions'!$B$85:$B$133,"&lt;="&amp;E$11)</f>
        <v/>
      </c>
      <c r="F33" s="103">
        <f>'Q4 Assumptions'!$G$53*F$12+SUMIFS('Q4 Assumptions'!$C$85:$C$133,'Q4 Assumptions'!$D$85:$D$133,'Q4 Assumptions'!$A$53,'Q4 Assumptions'!$B$85:$B$133,"&gt;="&amp;F$10,'Q4 Assumptions'!$B$85:$B$133,"&lt;="&amp;F$11)</f>
        <v/>
      </c>
      <c r="G33" s="103">
        <f>'Q4 Assumptions'!$G$53*G$12+SUMIFS('Q4 Assumptions'!$C$85:$C$133,'Q4 Assumptions'!$D$85:$D$133,'Q4 Assumptions'!$A$53,'Q4 Assumptions'!$B$85:$B$133,"&gt;="&amp;G$10,'Q4 Assumptions'!$B$85:$B$133,"&lt;="&amp;G$11)</f>
        <v/>
      </c>
      <c r="H33" s="103">
        <f>'Q4 Assumptions'!$G$53*H$12+SUMIFS('Q4 Assumptions'!$C$85:$C$133,'Q4 Assumptions'!$D$85:$D$133,'Q4 Assumptions'!$A$53,'Q4 Assumptions'!$B$85:$B$133,"&gt;="&amp;H$10,'Q4 Assumptions'!$B$85:$B$133,"&lt;="&amp;H$11)</f>
        <v/>
      </c>
      <c r="I33" s="103">
        <f>'Q4 Assumptions'!$G$53*I$12+SUMIFS('Q4 Assumptions'!$C$85:$C$133,'Q4 Assumptions'!$D$85:$D$133,'Q4 Assumptions'!$A$53,'Q4 Assumptions'!$B$85:$B$133,"&gt;="&amp;I$10,'Q4 Assumptions'!$B$85:$B$133,"&lt;="&amp;I$11)</f>
        <v/>
      </c>
      <c r="J33" s="103">
        <f>'Q4 Assumptions'!$G$53*J$12+SUMIFS('Q4 Assumptions'!$C$85:$C$133,'Q4 Assumptions'!$D$85:$D$133,'Q4 Assumptions'!$A$53,'Q4 Assumptions'!$B$85:$B$133,"&gt;="&amp;J$10,'Q4 Assumptions'!$B$85:$B$133,"&lt;="&amp;J$11)</f>
        <v/>
      </c>
      <c r="K33" s="103">
        <f>'Q4 Assumptions'!$G$53*K$12+SUMIFS('Q4 Assumptions'!$C$85:$C$133,'Q4 Assumptions'!$D$85:$D$133,'Q4 Assumptions'!$A$53,'Q4 Assumptions'!$B$85:$B$133,"&gt;="&amp;K$10,'Q4 Assumptions'!$B$85:$B$133,"&lt;="&amp;K$11)</f>
        <v/>
      </c>
      <c r="L33" s="103">
        <f>'Q4 Assumptions'!$G$53*L$12+SUMIFS('Q4 Assumptions'!$C$85:$C$133,'Q4 Assumptions'!$D$85:$D$133,'Q4 Assumptions'!$A$53,'Q4 Assumptions'!$B$85:$B$133,"&gt;="&amp;L$10,'Q4 Assumptions'!$B$85:$B$133,"&lt;="&amp;L$11)</f>
        <v/>
      </c>
      <c r="M33" s="103">
        <f>'Q4 Assumptions'!$G$53*M$12+SUMIFS('Q4 Assumptions'!$C$85:$C$133,'Q4 Assumptions'!$D$85:$D$133,'Q4 Assumptions'!$A$53,'Q4 Assumptions'!$B$85:$B$133,"&gt;="&amp;M$10,'Q4 Assumptions'!$B$85:$B$133,"&lt;="&amp;M$11)</f>
        <v/>
      </c>
      <c r="N33" s="103">
        <f>'Q4 Assumptions'!$G$53*N$12+SUMIFS('Q4 Assumptions'!$C$85:$C$133,'Q4 Assumptions'!$D$85:$D$133,'Q4 Assumptions'!$A$53,'Q4 Assumptions'!$B$85:$B$133,"&gt;="&amp;N$10,'Q4 Assumptions'!$B$85:$B$133,"&lt;="&amp;N$11)</f>
        <v/>
      </c>
      <c r="O33" s="103">
        <f>'Q4 Assumptions'!$G$53*O$12+SUMIFS('Q4 Assumptions'!$C$85:$C$133,'Q4 Assumptions'!$D$85:$D$133,'Q4 Assumptions'!$A$53,'Q4 Assumptions'!$B$85:$B$133,"&gt;="&amp;O$10,'Q4 Assumptions'!$B$85:$B$133,"&lt;="&amp;O$11)</f>
        <v/>
      </c>
      <c r="P33" s="103">
        <f>'Q4 Assumptions'!$G$53*P$12+SUMIFS('Q4 Assumptions'!$C$85:$C$133,'Q4 Assumptions'!$D$85:$D$133,'Q4 Assumptions'!$A$53,'Q4 Assumptions'!$B$85:$B$133,"&gt;="&amp;P$10,'Q4 Assumptions'!$B$85:$B$133,"&lt;="&amp;P$11)</f>
        <v/>
      </c>
      <c r="Q33" s="103">
        <f>'Q4 Assumptions'!$G$53*Q$12+SUMIFS('Q4 Assumptions'!$C$85:$C$133,'Q4 Assumptions'!$D$85:$D$133,'Q4 Assumptions'!$A$53,'Q4 Assumptions'!$B$85:$B$133,"&gt;="&amp;Q$10,'Q4 Assumptions'!$B$85:$B$133,"&lt;="&amp;Q$11)</f>
        <v/>
      </c>
      <c r="R33" s="104">
        <f>SUM(D33:Q33)</f>
        <v/>
      </c>
    </row>
    <row r="34">
      <c r="A34" s="101" t="n"/>
      <c r="B34" s="100" t="inlineStr">
        <is>
          <t>Open House &amp; Iftar</t>
        </is>
      </c>
      <c r="C34" s="102">
        <f>'Q4 Assumptions'!C54</f>
        <v/>
      </c>
      <c r="D34" s="103">
        <f>'Q4 Assumptions'!$G$54*D$12+SUMIFS('Q4 Assumptions'!$C$85:$C$133,'Q4 Assumptions'!$D$85:$D$133,'Q4 Assumptions'!$A$54,'Q4 Assumptions'!$B$85:$B$133,"&gt;="&amp;D$10,'Q4 Assumptions'!$B$85:$B$133,"&lt;="&amp;D$11)</f>
        <v/>
      </c>
      <c r="E34" s="103">
        <f>'Q4 Assumptions'!$G$54*E$12+SUMIFS('Q4 Assumptions'!$C$85:$C$133,'Q4 Assumptions'!$D$85:$D$133,'Q4 Assumptions'!$A$54,'Q4 Assumptions'!$B$85:$B$133,"&gt;="&amp;E$10,'Q4 Assumptions'!$B$85:$B$133,"&lt;="&amp;E$11)</f>
        <v/>
      </c>
      <c r="F34" s="103">
        <f>'Q4 Assumptions'!$G$54*F$12+SUMIFS('Q4 Assumptions'!$C$85:$C$133,'Q4 Assumptions'!$D$85:$D$133,'Q4 Assumptions'!$A$54,'Q4 Assumptions'!$B$85:$B$133,"&gt;="&amp;F$10,'Q4 Assumptions'!$B$85:$B$133,"&lt;="&amp;F$11)</f>
        <v/>
      </c>
      <c r="G34" s="103">
        <f>'Q4 Assumptions'!$G$54*G$12+SUMIFS('Q4 Assumptions'!$C$85:$C$133,'Q4 Assumptions'!$D$85:$D$133,'Q4 Assumptions'!$A$54,'Q4 Assumptions'!$B$85:$B$133,"&gt;="&amp;G$10,'Q4 Assumptions'!$B$85:$B$133,"&lt;="&amp;G$11)</f>
        <v/>
      </c>
      <c r="H34" s="103">
        <f>'Q4 Assumptions'!$G$54*H$12+SUMIFS('Q4 Assumptions'!$C$85:$C$133,'Q4 Assumptions'!$D$85:$D$133,'Q4 Assumptions'!$A$54,'Q4 Assumptions'!$B$85:$B$133,"&gt;="&amp;H$10,'Q4 Assumptions'!$B$85:$B$133,"&lt;="&amp;H$11)</f>
        <v/>
      </c>
      <c r="I34" s="103">
        <f>'Q4 Assumptions'!$G$54*I$12+SUMIFS('Q4 Assumptions'!$C$85:$C$133,'Q4 Assumptions'!$D$85:$D$133,'Q4 Assumptions'!$A$54,'Q4 Assumptions'!$B$85:$B$133,"&gt;="&amp;I$10,'Q4 Assumptions'!$B$85:$B$133,"&lt;="&amp;I$11)</f>
        <v/>
      </c>
      <c r="J34" s="103">
        <f>'Q4 Assumptions'!$G$54*J$12+SUMIFS('Q4 Assumptions'!$C$85:$C$133,'Q4 Assumptions'!$D$85:$D$133,'Q4 Assumptions'!$A$54,'Q4 Assumptions'!$B$85:$B$133,"&gt;="&amp;J$10,'Q4 Assumptions'!$B$85:$B$133,"&lt;="&amp;J$11)</f>
        <v/>
      </c>
      <c r="K34" s="103">
        <f>'Q4 Assumptions'!$G$54*K$12+SUMIFS('Q4 Assumptions'!$C$85:$C$133,'Q4 Assumptions'!$D$85:$D$133,'Q4 Assumptions'!$A$54,'Q4 Assumptions'!$B$85:$B$133,"&gt;="&amp;K$10,'Q4 Assumptions'!$B$85:$B$133,"&lt;="&amp;K$11)</f>
        <v/>
      </c>
      <c r="L34" s="103">
        <f>'Q4 Assumptions'!$G$54*L$12+SUMIFS('Q4 Assumptions'!$C$85:$C$133,'Q4 Assumptions'!$D$85:$D$133,'Q4 Assumptions'!$A$54,'Q4 Assumptions'!$B$85:$B$133,"&gt;="&amp;L$10,'Q4 Assumptions'!$B$85:$B$133,"&lt;="&amp;L$11)</f>
        <v/>
      </c>
      <c r="M34" s="103">
        <f>'Q4 Assumptions'!$G$54*M$12+SUMIFS('Q4 Assumptions'!$C$85:$C$133,'Q4 Assumptions'!$D$85:$D$133,'Q4 Assumptions'!$A$54,'Q4 Assumptions'!$B$85:$B$133,"&gt;="&amp;M$10,'Q4 Assumptions'!$B$85:$B$133,"&lt;="&amp;M$11)</f>
        <v/>
      </c>
      <c r="N34" s="103">
        <f>'Q4 Assumptions'!$G$54*N$12+SUMIFS('Q4 Assumptions'!$C$85:$C$133,'Q4 Assumptions'!$D$85:$D$133,'Q4 Assumptions'!$A$54,'Q4 Assumptions'!$B$85:$B$133,"&gt;="&amp;N$10,'Q4 Assumptions'!$B$85:$B$133,"&lt;="&amp;N$11)</f>
        <v/>
      </c>
      <c r="O34" s="103">
        <f>'Q4 Assumptions'!$G$54*O$12+SUMIFS('Q4 Assumptions'!$C$85:$C$133,'Q4 Assumptions'!$D$85:$D$133,'Q4 Assumptions'!$A$54,'Q4 Assumptions'!$B$85:$B$133,"&gt;="&amp;O$10,'Q4 Assumptions'!$B$85:$B$133,"&lt;="&amp;O$11)</f>
        <v/>
      </c>
      <c r="P34" s="103">
        <f>'Q4 Assumptions'!$G$54*P$12+SUMIFS('Q4 Assumptions'!$C$85:$C$133,'Q4 Assumptions'!$D$85:$D$133,'Q4 Assumptions'!$A$54,'Q4 Assumptions'!$B$85:$B$133,"&gt;="&amp;P$10,'Q4 Assumptions'!$B$85:$B$133,"&lt;="&amp;P$11)</f>
        <v/>
      </c>
      <c r="Q34" s="103">
        <f>'Q4 Assumptions'!$G$54*Q$12+SUMIFS('Q4 Assumptions'!$C$85:$C$133,'Q4 Assumptions'!$D$85:$D$133,'Q4 Assumptions'!$A$54,'Q4 Assumptions'!$B$85:$B$133,"&gt;="&amp;Q$10,'Q4 Assumptions'!$B$85:$B$133,"&lt;="&amp;Q$11)</f>
        <v/>
      </c>
      <c r="R34" s="104">
        <f>SUM(D34:Q34)</f>
        <v/>
      </c>
    </row>
    <row r="35">
      <c r="A35" s="101" t="n"/>
      <c r="B35" s="100" t="inlineStr">
        <is>
          <t>Co Trip</t>
        </is>
      </c>
      <c r="C35" s="102">
        <f>'Q4 Assumptions'!C55</f>
        <v/>
      </c>
      <c r="D35" s="103">
        <f>'Q4 Assumptions'!$G$55*D$12+SUMIFS('Q4 Assumptions'!$C$85:$C$133,'Q4 Assumptions'!$D$85:$D$133,'Q4 Assumptions'!$A$55,'Q4 Assumptions'!$B$85:$B$133,"&gt;="&amp;D$10,'Q4 Assumptions'!$B$85:$B$133,"&lt;="&amp;D$11)</f>
        <v/>
      </c>
      <c r="E35" s="103">
        <f>'Q4 Assumptions'!$G$55*E$12+SUMIFS('Q4 Assumptions'!$C$85:$C$133,'Q4 Assumptions'!$D$85:$D$133,'Q4 Assumptions'!$A$55,'Q4 Assumptions'!$B$85:$B$133,"&gt;="&amp;E$10,'Q4 Assumptions'!$B$85:$B$133,"&lt;="&amp;E$11)</f>
        <v/>
      </c>
      <c r="F35" s="103">
        <f>'Q4 Assumptions'!$G$55*F$12+SUMIFS('Q4 Assumptions'!$C$85:$C$133,'Q4 Assumptions'!$D$85:$D$133,'Q4 Assumptions'!$A$55,'Q4 Assumptions'!$B$85:$B$133,"&gt;="&amp;F$10,'Q4 Assumptions'!$B$85:$B$133,"&lt;="&amp;F$11)</f>
        <v/>
      </c>
      <c r="G35" s="103">
        <f>'Q4 Assumptions'!$G$55*G$12+SUMIFS('Q4 Assumptions'!$C$85:$C$133,'Q4 Assumptions'!$D$85:$D$133,'Q4 Assumptions'!$A$55,'Q4 Assumptions'!$B$85:$B$133,"&gt;="&amp;G$10,'Q4 Assumptions'!$B$85:$B$133,"&lt;="&amp;G$11)</f>
        <v/>
      </c>
      <c r="H35" s="103">
        <f>'Q4 Assumptions'!$G$55*H$12+SUMIFS('Q4 Assumptions'!$C$85:$C$133,'Q4 Assumptions'!$D$85:$D$133,'Q4 Assumptions'!$A$55,'Q4 Assumptions'!$B$85:$B$133,"&gt;="&amp;H$10,'Q4 Assumptions'!$B$85:$B$133,"&lt;="&amp;H$11)</f>
        <v/>
      </c>
      <c r="I35" s="103">
        <f>'Q4 Assumptions'!$G$55*I$12+SUMIFS('Q4 Assumptions'!$C$85:$C$133,'Q4 Assumptions'!$D$85:$D$133,'Q4 Assumptions'!$A$55,'Q4 Assumptions'!$B$85:$B$133,"&gt;="&amp;I$10,'Q4 Assumptions'!$B$85:$B$133,"&lt;="&amp;I$11)</f>
        <v/>
      </c>
      <c r="J35" s="103">
        <f>'Q4 Assumptions'!$G$55*J$12+SUMIFS('Q4 Assumptions'!$C$85:$C$133,'Q4 Assumptions'!$D$85:$D$133,'Q4 Assumptions'!$A$55,'Q4 Assumptions'!$B$85:$B$133,"&gt;="&amp;J$10,'Q4 Assumptions'!$B$85:$B$133,"&lt;="&amp;J$11)</f>
        <v/>
      </c>
      <c r="K35" s="103">
        <f>'Q4 Assumptions'!$G$55*K$12+SUMIFS('Q4 Assumptions'!$C$85:$C$133,'Q4 Assumptions'!$D$85:$D$133,'Q4 Assumptions'!$A$55,'Q4 Assumptions'!$B$85:$B$133,"&gt;="&amp;K$10,'Q4 Assumptions'!$B$85:$B$133,"&lt;="&amp;K$11)</f>
        <v/>
      </c>
      <c r="L35" s="103">
        <f>'Q4 Assumptions'!$G$55*L$12+SUMIFS('Q4 Assumptions'!$C$85:$C$133,'Q4 Assumptions'!$D$85:$D$133,'Q4 Assumptions'!$A$55,'Q4 Assumptions'!$B$85:$B$133,"&gt;="&amp;L$10,'Q4 Assumptions'!$B$85:$B$133,"&lt;="&amp;L$11)</f>
        <v/>
      </c>
      <c r="M35" s="103">
        <f>'Q4 Assumptions'!$G$55*M$12+SUMIFS('Q4 Assumptions'!$C$85:$C$133,'Q4 Assumptions'!$D$85:$D$133,'Q4 Assumptions'!$A$55,'Q4 Assumptions'!$B$85:$B$133,"&gt;="&amp;M$10,'Q4 Assumptions'!$B$85:$B$133,"&lt;="&amp;M$11)</f>
        <v/>
      </c>
      <c r="N35" s="103">
        <f>'Q4 Assumptions'!$G$55*N$12+SUMIFS('Q4 Assumptions'!$C$85:$C$133,'Q4 Assumptions'!$D$85:$D$133,'Q4 Assumptions'!$A$55,'Q4 Assumptions'!$B$85:$B$133,"&gt;="&amp;N$10,'Q4 Assumptions'!$B$85:$B$133,"&lt;="&amp;N$11)</f>
        <v/>
      </c>
      <c r="O35" s="103">
        <f>'Q4 Assumptions'!$G$55*O$12+SUMIFS('Q4 Assumptions'!$C$85:$C$133,'Q4 Assumptions'!$D$85:$D$133,'Q4 Assumptions'!$A$55,'Q4 Assumptions'!$B$85:$B$133,"&gt;="&amp;O$10,'Q4 Assumptions'!$B$85:$B$133,"&lt;="&amp;O$11)</f>
        <v/>
      </c>
      <c r="P35" s="103">
        <f>'Q4 Assumptions'!$G$55*P$12+SUMIFS('Q4 Assumptions'!$C$85:$C$133,'Q4 Assumptions'!$D$85:$D$133,'Q4 Assumptions'!$A$55,'Q4 Assumptions'!$B$85:$B$133,"&gt;="&amp;P$10,'Q4 Assumptions'!$B$85:$B$133,"&lt;="&amp;P$11)</f>
        <v/>
      </c>
      <c r="Q35" s="103">
        <f>'Q4 Assumptions'!$G$55*Q$12+SUMIFS('Q4 Assumptions'!$C$85:$C$133,'Q4 Assumptions'!$D$85:$D$133,'Q4 Assumptions'!$A$55,'Q4 Assumptions'!$B$85:$B$133,"&gt;="&amp;Q$10,'Q4 Assumptions'!$B$85:$B$133,"&lt;="&amp;Q$11)</f>
        <v/>
      </c>
      <c r="R35" s="104">
        <f>SUM(D35:Q35)</f>
        <v/>
      </c>
    </row>
    <row r="36">
      <c r="A36" s="101" t="n"/>
      <c r="B36" s="100" t="inlineStr">
        <is>
          <t>Utilities</t>
        </is>
      </c>
      <c r="C36" s="102">
        <f>'Q4 Assumptions'!C56</f>
        <v/>
      </c>
      <c r="D36" s="103">
        <f>'Q4 Assumptions'!$G$56*D$12+SUMIFS('Q4 Assumptions'!$C$85:$C$133,'Q4 Assumptions'!$D$85:$D$133,'Q4 Assumptions'!$A$56,'Q4 Assumptions'!$B$85:$B$133,"&gt;="&amp;D$10,'Q4 Assumptions'!$B$85:$B$133,"&lt;="&amp;D$11)</f>
        <v/>
      </c>
      <c r="E36" s="103">
        <f>'Q4 Assumptions'!$G$56*E$12+SUMIFS('Q4 Assumptions'!$C$85:$C$133,'Q4 Assumptions'!$D$85:$D$133,'Q4 Assumptions'!$A$56,'Q4 Assumptions'!$B$85:$B$133,"&gt;="&amp;E$10,'Q4 Assumptions'!$B$85:$B$133,"&lt;="&amp;E$11)</f>
        <v/>
      </c>
      <c r="F36" s="103">
        <f>'Q4 Assumptions'!$G$56*F$12+SUMIFS('Q4 Assumptions'!$C$85:$C$133,'Q4 Assumptions'!$D$85:$D$133,'Q4 Assumptions'!$A$56,'Q4 Assumptions'!$B$85:$B$133,"&gt;="&amp;F$10,'Q4 Assumptions'!$B$85:$B$133,"&lt;="&amp;F$11)</f>
        <v/>
      </c>
      <c r="G36" s="103">
        <f>'Q4 Assumptions'!$G$56*G$12+SUMIFS('Q4 Assumptions'!$C$85:$C$133,'Q4 Assumptions'!$D$85:$D$133,'Q4 Assumptions'!$A$56,'Q4 Assumptions'!$B$85:$B$133,"&gt;="&amp;G$10,'Q4 Assumptions'!$B$85:$B$133,"&lt;="&amp;G$11)</f>
        <v/>
      </c>
      <c r="H36" s="103">
        <f>'Q4 Assumptions'!$G$56*H$12+SUMIFS('Q4 Assumptions'!$C$85:$C$133,'Q4 Assumptions'!$D$85:$D$133,'Q4 Assumptions'!$A$56,'Q4 Assumptions'!$B$85:$B$133,"&gt;="&amp;H$10,'Q4 Assumptions'!$B$85:$B$133,"&lt;="&amp;H$11)</f>
        <v/>
      </c>
      <c r="I36" s="103">
        <f>'Q4 Assumptions'!$G$56*I$12+SUMIFS('Q4 Assumptions'!$C$85:$C$133,'Q4 Assumptions'!$D$85:$D$133,'Q4 Assumptions'!$A$56,'Q4 Assumptions'!$B$85:$B$133,"&gt;="&amp;I$10,'Q4 Assumptions'!$B$85:$B$133,"&lt;="&amp;I$11)</f>
        <v/>
      </c>
      <c r="J36" s="103">
        <f>'Q4 Assumptions'!$G$56*J$12+SUMIFS('Q4 Assumptions'!$C$85:$C$133,'Q4 Assumptions'!$D$85:$D$133,'Q4 Assumptions'!$A$56,'Q4 Assumptions'!$B$85:$B$133,"&gt;="&amp;J$10,'Q4 Assumptions'!$B$85:$B$133,"&lt;="&amp;J$11)</f>
        <v/>
      </c>
      <c r="K36" s="103">
        <f>'Q4 Assumptions'!$G$56*K$12+SUMIFS('Q4 Assumptions'!$C$85:$C$133,'Q4 Assumptions'!$D$85:$D$133,'Q4 Assumptions'!$A$56,'Q4 Assumptions'!$B$85:$B$133,"&gt;="&amp;K$10,'Q4 Assumptions'!$B$85:$B$133,"&lt;="&amp;K$11)</f>
        <v/>
      </c>
      <c r="L36" s="103">
        <f>'Q4 Assumptions'!$G$56*L$12+SUMIFS('Q4 Assumptions'!$C$85:$C$133,'Q4 Assumptions'!$D$85:$D$133,'Q4 Assumptions'!$A$56,'Q4 Assumptions'!$B$85:$B$133,"&gt;="&amp;L$10,'Q4 Assumptions'!$B$85:$B$133,"&lt;="&amp;L$11)</f>
        <v/>
      </c>
      <c r="M36" s="103">
        <f>'Q4 Assumptions'!$G$56*M$12+SUMIFS('Q4 Assumptions'!$C$85:$C$133,'Q4 Assumptions'!$D$85:$D$133,'Q4 Assumptions'!$A$56,'Q4 Assumptions'!$B$85:$B$133,"&gt;="&amp;M$10,'Q4 Assumptions'!$B$85:$B$133,"&lt;="&amp;M$11)</f>
        <v/>
      </c>
      <c r="N36" s="103">
        <f>'Q4 Assumptions'!$G$56*N$12+SUMIFS('Q4 Assumptions'!$C$85:$C$133,'Q4 Assumptions'!$D$85:$D$133,'Q4 Assumptions'!$A$56,'Q4 Assumptions'!$B$85:$B$133,"&gt;="&amp;N$10,'Q4 Assumptions'!$B$85:$B$133,"&lt;="&amp;N$11)</f>
        <v/>
      </c>
      <c r="O36" s="103">
        <f>'Q4 Assumptions'!$G$56*O$12+SUMIFS('Q4 Assumptions'!$C$85:$C$133,'Q4 Assumptions'!$D$85:$D$133,'Q4 Assumptions'!$A$56,'Q4 Assumptions'!$B$85:$B$133,"&gt;="&amp;O$10,'Q4 Assumptions'!$B$85:$B$133,"&lt;="&amp;O$11)</f>
        <v/>
      </c>
      <c r="P36" s="103">
        <f>'Q4 Assumptions'!$G$56*P$12+SUMIFS('Q4 Assumptions'!$C$85:$C$133,'Q4 Assumptions'!$D$85:$D$133,'Q4 Assumptions'!$A$56,'Q4 Assumptions'!$B$85:$B$133,"&gt;="&amp;P$10,'Q4 Assumptions'!$B$85:$B$133,"&lt;="&amp;P$11)</f>
        <v/>
      </c>
      <c r="Q36" s="103">
        <f>'Q4 Assumptions'!$G$56*Q$12+SUMIFS('Q4 Assumptions'!$C$85:$C$133,'Q4 Assumptions'!$D$85:$D$133,'Q4 Assumptions'!$A$56,'Q4 Assumptions'!$B$85:$B$133,"&gt;="&amp;Q$10,'Q4 Assumptions'!$B$85:$B$133,"&lt;="&amp;Q$11)</f>
        <v/>
      </c>
      <c r="R36" s="104">
        <f>SUM(D36:Q36)</f>
        <v/>
      </c>
    </row>
    <row r="37">
      <c r="A37" s="101" t="n"/>
      <c r="B37" s="100" t="inlineStr">
        <is>
          <t>Rental</t>
        </is>
      </c>
      <c r="C37" s="102">
        <f>'Q4 Assumptions'!C57</f>
        <v/>
      </c>
      <c r="D37" s="103">
        <f>'Q4 Assumptions'!$G$57*D$12+SUMIFS('Q4 Assumptions'!$C$85:$C$133,'Q4 Assumptions'!$D$85:$D$133,'Q4 Assumptions'!$A$57,'Q4 Assumptions'!$B$85:$B$133,"&gt;="&amp;D$10,'Q4 Assumptions'!$B$85:$B$133,"&lt;="&amp;D$11)+D88</f>
        <v/>
      </c>
      <c r="E37" s="103">
        <f>'Q4 Assumptions'!$G$57*E$12+SUMIFS('Q4 Assumptions'!$C$85:$C$133,'Q4 Assumptions'!$D$85:$D$133,'Q4 Assumptions'!$A$57,'Q4 Assumptions'!$B$85:$B$133,"&gt;="&amp;E$10,'Q4 Assumptions'!$B$85:$B$133,"&lt;="&amp;E$11)+E88</f>
        <v/>
      </c>
      <c r="F37" s="103">
        <f>'Q4 Assumptions'!$G$57*F$12+SUMIFS('Q4 Assumptions'!$C$85:$C$133,'Q4 Assumptions'!$D$85:$D$133,'Q4 Assumptions'!$A$57,'Q4 Assumptions'!$B$85:$B$133,"&gt;="&amp;F$10,'Q4 Assumptions'!$B$85:$B$133,"&lt;="&amp;F$11)+F88</f>
        <v/>
      </c>
      <c r="G37" s="103">
        <f>'Q4 Assumptions'!$G$57*G$12+SUMIFS('Q4 Assumptions'!$C$85:$C$133,'Q4 Assumptions'!$D$85:$D$133,'Q4 Assumptions'!$A$57,'Q4 Assumptions'!$B$85:$B$133,"&gt;="&amp;G$10,'Q4 Assumptions'!$B$85:$B$133,"&lt;="&amp;G$11)+G88</f>
        <v/>
      </c>
      <c r="H37" s="103">
        <f>'Q4 Assumptions'!$G$57*H$12+SUMIFS('Q4 Assumptions'!$C$85:$C$133,'Q4 Assumptions'!$D$85:$D$133,'Q4 Assumptions'!$A$57,'Q4 Assumptions'!$B$85:$B$133,"&gt;="&amp;H$10,'Q4 Assumptions'!$B$85:$B$133,"&lt;="&amp;H$11)+H88</f>
        <v/>
      </c>
      <c r="I37" s="103">
        <f>'Q4 Assumptions'!$G$57*I$12+SUMIFS('Q4 Assumptions'!$C$85:$C$133,'Q4 Assumptions'!$D$85:$D$133,'Q4 Assumptions'!$A$57,'Q4 Assumptions'!$B$85:$B$133,"&gt;="&amp;I$10,'Q4 Assumptions'!$B$85:$B$133,"&lt;="&amp;I$11)+I88</f>
        <v/>
      </c>
      <c r="J37" s="103">
        <f>'Q4 Assumptions'!$G$57*J$12+SUMIFS('Q4 Assumptions'!$C$85:$C$133,'Q4 Assumptions'!$D$85:$D$133,'Q4 Assumptions'!$A$57,'Q4 Assumptions'!$B$85:$B$133,"&gt;="&amp;J$10,'Q4 Assumptions'!$B$85:$B$133,"&lt;="&amp;J$11)+J88</f>
        <v/>
      </c>
      <c r="K37" s="103">
        <f>'Q4 Assumptions'!$G$57*K$12+SUMIFS('Q4 Assumptions'!$C$85:$C$133,'Q4 Assumptions'!$D$85:$D$133,'Q4 Assumptions'!$A$57,'Q4 Assumptions'!$B$85:$B$133,"&gt;="&amp;K$10,'Q4 Assumptions'!$B$85:$B$133,"&lt;="&amp;K$11)+K88</f>
        <v/>
      </c>
      <c r="L37" s="103">
        <f>'Q4 Assumptions'!$G$57*L$12+SUMIFS('Q4 Assumptions'!$C$85:$C$133,'Q4 Assumptions'!$D$85:$D$133,'Q4 Assumptions'!$A$57,'Q4 Assumptions'!$B$85:$B$133,"&gt;="&amp;L$10,'Q4 Assumptions'!$B$85:$B$133,"&lt;="&amp;L$11)+L88</f>
        <v/>
      </c>
      <c r="M37" s="103">
        <f>'Q4 Assumptions'!$G$57*M$12+SUMIFS('Q4 Assumptions'!$C$85:$C$133,'Q4 Assumptions'!$D$85:$D$133,'Q4 Assumptions'!$A$57,'Q4 Assumptions'!$B$85:$B$133,"&gt;="&amp;M$10,'Q4 Assumptions'!$B$85:$B$133,"&lt;="&amp;M$11)+M88</f>
        <v/>
      </c>
      <c r="N37" s="103">
        <f>'Q4 Assumptions'!$G$57*N$12+SUMIFS('Q4 Assumptions'!$C$85:$C$133,'Q4 Assumptions'!$D$85:$D$133,'Q4 Assumptions'!$A$57,'Q4 Assumptions'!$B$85:$B$133,"&gt;="&amp;N$10,'Q4 Assumptions'!$B$85:$B$133,"&lt;="&amp;N$11)+N88</f>
        <v/>
      </c>
      <c r="O37" s="103">
        <f>'Q4 Assumptions'!$G$57*O$12+SUMIFS('Q4 Assumptions'!$C$85:$C$133,'Q4 Assumptions'!$D$85:$D$133,'Q4 Assumptions'!$A$57,'Q4 Assumptions'!$B$85:$B$133,"&gt;="&amp;O$10,'Q4 Assumptions'!$B$85:$B$133,"&lt;="&amp;O$11)+O88</f>
        <v/>
      </c>
      <c r="P37" s="103">
        <f>'Q4 Assumptions'!$G$57*P$12+SUMIFS('Q4 Assumptions'!$C$85:$C$133,'Q4 Assumptions'!$D$85:$D$133,'Q4 Assumptions'!$A$57,'Q4 Assumptions'!$B$85:$B$133,"&gt;="&amp;P$10,'Q4 Assumptions'!$B$85:$B$133,"&lt;="&amp;P$11)+P88</f>
        <v/>
      </c>
      <c r="Q37" s="103">
        <f>'Q4 Assumptions'!$G$57*Q$12+SUMIFS('Q4 Assumptions'!$C$85:$C$133,'Q4 Assumptions'!$D$85:$D$133,'Q4 Assumptions'!$A$57,'Q4 Assumptions'!$B$85:$B$133,"&gt;="&amp;Q$10,'Q4 Assumptions'!$B$85:$B$133,"&lt;="&amp;Q$11)+Q88</f>
        <v/>
      </c>
      <c r="R37" s="104">
        <f>SUM(D37:Q37)</f>
        <v/>
      </c>
    </row>
    <row r="38">
      <c r="A38" s="101" t="n"/>
      <c r="B38" s="100" t="inlineStr">
        <is>
          <t>Sponsorship</t>
        </is>
      </c>
      <c r="C38" s="102">
        <f>'Q4 Assumptions'!C58</f>
        <v/>
      </c>
      <c r="D38" s="103">
        <f>'Q4 Assumptions'!$G$58*D$12+SUMIFS('Q4 Assumptions'!$C$85:$C$133,'Q4 Assumptions'!$D$85:$D$133,'Q4 Assumptions'!$A$58,'Q4 Assumptions'!$B$85:$B$133,"&gt;="&amp;D$10,'Q4 Assumptions'!$B$85:$B$133,"&lt;="&amp;D$11)</f>
        <v/>
      </c>
      <c r="E38" s="103">
        <f>'Q4 Assumptions'!$G$58*E$12+SUMIFS('Q4 Assumptions'!$C$85:$C$133,'Q4 Assumptions'!$D$85:$D$133,'Q4 Assumptions'!$A$58,'Q4 Assumptions'!$B$85:$B$133,"&gt;="&amp;E$10,'Q4 Assumptions'!$B$85:$B$133,"&lt;="&amp;E$11)</f>
        <v/>
      </c>
      <c r="F38" s="103">
        <f>'Q4 Assumptions'!$G$58*F$12+SUMIFS('Q4 Assumptions'!$C$85:$C$133,'Q4 Assumptions'!$D$85:$D$133,'Q4 Assumptions'!$A$58,'Q4 Assumptions'!$B$85:$B$133,"&gt;="&amp;F$10,'Q4 Assumptions'!$B$85:$B$133,"&lt;="&amp;F$11)</f>
        <v/>
      </c>
      <c r="G38" s="103">
        <f>'Q4 Assumptions'!$G$58*G$12+SUMIFS('Q4 Assumptions'!$C$85:$C$133,'Q4 Assumptions'!$D$85:$D$133,'Q4 Assumptions'!$A$58,'Q4 Assumptions'!$B$85:$B$133,"&gt;="&amp;G$10,'Q4 Assumptions'!$B$85:$B$133,"&lt;="&amp;G$11)</f>
        <v/>
      </c>
      <c r="H38" s="103">
        <f>'Q4 Assumptions'!$G$58*H$12+SUMIFS('Q4 Assumptions'!$C$85:$C$133,'Q4 Assumptions'!$D$85:$D$133,'Q4 Assumptions'!$A$58,'Q4 Assumptions'!$B$85:$B$133,"&gt;="&amp;H$10,'Q4 Assumptions'!$B$85:$B$133,"&lt;="&amp;H$11)</f>
        <v/>
      </c>
      <c r="I38" s="103">
        <f>'Q4 Assumptions'!$G$58*I$12+SUMIFS('Q4 Assumptions'!$C$85:$C$133,'Q4 Assumptions'!$D$85:$D$133,'Q4 Assumptions'!$A$58,'Q4 Assumptions'!$B$85:$B$133,"&gt;="&amp;I$10,'Q4 Assumptions'!$B$85:$B$133,"&lt;="&amp;I$11)</f>
        <v/>
      </c>
      <c r="J38" s="103">
        <f>'Q4 Assumptions'!$G$58*J$12+SUMIFS('Q4 Assumptions'!$C$85:$C$133,'Q4 Assumptions'!$D$85:$D$133,'Q4 Assumptions'!$A$58,'Q4 Assumptions'!$B$85:$B$133,"&gt;="&amp;J$10,'Q4 Assumptions'!$B$85:$B$133,"&lt;="&amp;J$11)</f>
        <v/>
      </c>
      <c r="K38" s="103">
        <f>'Q4 Assumptions'!$G$58*K$12+SUMIFS('Q4 Assumptions'!$C$85:$C$133,'Q4 Assumptions'!$D$85:$D$133,'Q4 Assumptions'!$A$58,'Q4 Assumptions'!$B$85:$B$133,"&gt;="&amp;K$10,'Q4 Assumptions'!$B$85:$B$133,"&lt;="&amp;K$11)</f>
        <v/>
      </c>
      <c r="L38" s="103">
        <f>'Q4 Assumptions'!$G$58*L$12+SUMIFS('Q4 Assumptions'!$C$85:$C$133,'Q4 Assumptions'!$D$85:$D$133,'Q4 Assumptions'!$A$58,'Q4 Assumptions'!$B$85:$B$133,"&gt;="&amp;L$10,'Q4 Assumptions'!$B$85:$B$133,"&lt;="&amp;L$11)</f>
        <v/>
      </c>
      <c r="M38" s="103">
        <f>'Q4 Assumptions'!$G$58*M$12+SUMIFS('Q4 Assumptions'!$C$85:$C$133,'Q4 Assumptions'!$D$85:$D$133,'Q4 Assumptions'!$A$58,'Q4 Assumptions'!$B$85:$B$133,"&gt;="&amp;M$10,'Q4 Assumptions'!$B$85:$B$133,"&lt;="&amp;M$11)</f>
        <v/>
      </c>
      <c r="N38" s="103">
        <f>'Q4 Assumptions'!$G$58*N$12+SUMIFS('Q4 Assumptions'!$C$85:$C$133,'Q4 Assumptions'!$D$85:$D$133,'Q4 Assumptions'!$A$58,'Q4 Assumptions'!$B$85:$B$133,"&gt;="&amp;N$10,'Q4 Assumptions'!$B$85:$B$133,"&lt;="&amp;N$11)</f>
        <v/>
      </c>
      <c r="O38" s="103">
        <f>'Q4 Assumptions'!$G$58*O$12+SUMIFS('Q4 Assumptions'!$C$85:$C$133,'Q4 Assumptions'!$D$85:$D$133,'Q4 Assumptions'!$A$58,'Q4 Assumptions'!$B$85:$B$133,"&gt;="&amp;O$10,'Q4 Assumptions'!$B$85:$B$133,"&lt;="&amp;O$11)</f>
        <v/>
      </c>
      <c r="P38" s="103">
        <f>'Q4 Assumptions'!$G$58*P$12+SUMIFS('Q4 Assumptions'!$C$85:$C$133,'Q4 Assumptions'!$D$85:$D$133,'Q4 Assumptions'!$A$58,'Q4 Assumptions'!$B$85:$B$133,"&gt;="&amp;P$10,'Q4 Assumptions'!$B$85:$B$133,"&lt;="&amp;P$11)</f>
        <v/>
      </c>
      <c r="Q38" s="103">
        <f>'Q4 Assumptions'!$G$58*Q$12+SUMIFS('Q4 Assumptions'!$C$85:$C$133,'Q4 Assumptions'!$D$85:$D$133,'Q4 Assumptions'!$A$58,'Q4 Assumptions'!$B$85:$B$133,"&gt;="&amp;Q$10,'Q4 Assumptions'!$B$85:$B$133,"&lt;="&amp;Q$11)</f>
        <v/>
      </c>
      <c r="R38" s="104">
        <f>SUM(D38:Q38)</f>
        <v/>
      </c>
    </row>
    <row r="39">
      <c r="A39" s="101" t="n"/>
      <c r="B39" s="100" t="inlineStr">
        <is>
          <t>SST</t>
        </is>
      </c>
      <c r="C39" s="102">
        <f>'Q4 Assumptions'!C59</f>
        <v/>
      </c>
      <c r="D39" s="103">
        <f>'Q4 Assumptions'!$G$59*D$12+SUMIFS('Q4 Assumptions'!$C$85:$C$133,'Q4 Assumptions'!$D$85:$D$133,'Q4 Assumptions'!$A$59,'Q4 Assumptions'!$B$85:$B$133,"&gt;="&amp;D$10,'Q4 Assumptions'!$B$85:$B$133,"&lt;="&amp;D$11)</f>
        <v/>
      </c>
      <c r="E39" s="103">
        <f>'Q4 Assumptions'!$G$59*E$12+SUMIFS('Q4 Assumptions'!$C$85:$C$133,'Q4 Assumptions'!$D$85:$D$133,'Q4 Assumptions'!$A$59,'Q4 Assumptions'!$B$85:$B$133,"&gt;="&amp;E$10,'Q4 Assumptions'!$B$85:$B$133,"&lt;="&amp;E$11)</f>
        <v/>
      </c>
      <c r="F39" s="103">
        <f>'Q4 Assumptions'!$G$59*F$12+SUMIFS('Q4 Assumptions'!$C$85:$C$133,'Q4 Assumptions'!$D$85:$D$133,'Q4 Assumptions'!$A$59,'Q4 Assumptions'!$B$85:$B$133,"&gt;="&amp;F$10,'Q4 Assumptions'!$B$85:$B$133,"&lt;="&amp;F$11)</f>
        <v/>
      </c>
      <c r="G39" s="103">
        <f>'Q4 Assumptions'!$G$59*G$12+SUMIFS('Q4 Assumptions'!$C$85:$C$133,'Q4 Assumptions'!$D$85:$D$133,'Q4 Assumptions'!$A$59,'Q4 Assumptions'!$B$85:$B$133,"&gt;="&amp;G$10,'Q4 Assumptions'!$B$85:$B$133,"&lt;="&amp;G$11)</f>
        <v/>
      </c>
      <c r="H39" s="103">
        <f>'Q4 Assumptions'!$G$59*H$12+SUMIFS('Q4 Assumptions'!$C$85:$C$133,'Q4 Assumptions'!$D$85:$D$133,'Q4 Assumptions'!$A$59,'Q4 Assumptions'!$B$85:$B$133,"&gt;="&amp;H$10,'Q4 Assumptions'!$B$85:$B$133,"&lt;="&amp;H$11)</f>
        <v/>
      </c>
      <c r="I39" s="103">
        <f>'Q4 Assumptions'!$G$59*I$12+SUMIFS('Q4 Assumptions'!$C$85:$C$133,'Q4 Assumptions'!$D$85:$D$133,'Q4 Assumptions'!$A$59,'Q4 Assumptions'!$B$85:$B$133,"&gt;="&amp;I$10,'Q4 Assumptions'!$B$85:$B$133,"&lt;="&amp;I$11)</f>
        <v/>
      </c>
      <c r="J39" s="103">
        <f>'Q4 Assumptions'!$G$59*J$12+SUMIFS('Q4 Assumptions'!$C$85:$C$133,'Q4 Assumptions'!$D$85:$D$133,'Q4 Assumptions'!$A$59,'Q4 Assumptions'!$B$85:$B$133,"&gt;="&amp;J$10,'Q4 Assumptions'!$B$85:$B$133,"&lt;="&amp;J$11)</f>
        <v/>
      </c>
      <c r="K39" s="103">
        <f>'Q4 Assumptions'!$G$59*K$12+SUMIFS('Q4 Assumptions'!$C$85:$C$133,'Q4 Assumptions'!$D$85:$D$133,'Q4 Assumptions'!$A$59,'Q4 Assumptions'!$B$85:$B$133,"&gt;="&amp;K$10,'Q4 Assumptions'!$B$85:$B$133,"&lt;="&amp;K$11)</f>
        <v/>
      </c>
      <c r="L39" s="103">
        <f>'Q4 Assumptions'!$G$59*L$12+SUMIFS('Q4 Assumptions'!$C$85:$C$133,'Q4 Assumptions'!$D$85:$D$133,'Q4 Assumptions'!$A$59,'Q4 Assumptions'!$B$85:$B$133,"&gt;="&amp;L$10,'Q4 Assumptions'!$B$85:$B$133,"&lt;="&amp;L$11)</f>
        <v/>
      </c>
      <c r="M39" s="103">
        <f>'Q4 Assumptions'!$G$59*M$12+SUMIFS('Q4 Assumptions'!$C$85:$C$133,'Q4 Assumptions'!$D$85:$D$133,'Q4 Assumptions'!$A$59,'Q4 Assumptions'!$B$85:$B$133,"&gt;="&amp;M$10,'Q4 Assumptions'!$B$85:$B$133,"&lt;="&amp;M$11)</f>
        <v/>
      </c>
      <c r="N39" s="103">
        <f>'Q4 Assumptions'!$G$59*N$12+SUMIFS('Q4 Assumptions'!$C$85:$C$133,'Q4 Assumptions'!$D$85:$D$133,'Q4 Assumptions'!$A$59,'Q4 Assumptions'!$B$85:$B$133,"&gt;="&amp;N$10,'Q4 Assumptions'!$B$85:$B$133,"&lt;="&amp;N$11)</f>
        <v/>
      </c>
      <c r="O39" s="103">
        <f>'Q4 Assumptions'!$G$59*O$12+SUMIFS('Q4 Assumptions'!$C$85:$C$133,'Q4 Assumptions'!$D$85:$D$133,'Q4 Assumptions'!$A$59,'Q4 Assumptions'!$B$85:$B$133,"&gt;="&amp;O$10,'Q4 Assumptions'!$B$85:$B$133,"&lt;="&amp;O$11)</f>
        <v/>
      </c>
      <c r="P39" s="103">
        <f>'Q4 Assumptions'!$G$59*P$12+SUMIFS('Q4 Assumptions'!$C$85:$C$133,'Q4 Assumptions'!$D$85:$D$133,'Q4 Assumptions'!$A$59,'Q4 Assumptions'!$B$85:$B$133,"&gt;="&amp;P$10,'Q4 Assumptions'!$B$85:$B$133,"&lt;="&amp;P$11)</f>
        <v/>
      </c>
      <c r="Q39" s="103">
        <f>'Q4 Assumptions'!$G$59*Q$12+SUMIFS('Q4 Assumptions'!$C$85:$C$133,'Q4 Assumptions'!$D$85:$D$133,'Q4 Assumptions'!$A$59,'Q4 Assumptions'!$B$85:$B$133,"&gt;="&amp;Q$10,'Q4 Assumptions'!$B$85:$B$133,"&lt;="&amp;Q$11)</f>
        <v/>
      </c>
      <c r="R39" s="104">
        <f>SUM(D39:Q39)</f>
        <v/>
      </c>
    </row>
    <row r="40">
      <c r="A40" s="101" t="n"/>
      <c r="B40" s="100" t="inlineStr">
        <is>
          <t>Donation</t>
        </is>
      </c>
      <c r="C40" s="102">
        <f>'Q4 Assumptions'!C60</f>
        <v/>
      </c>
      <c r="D40" s="103">
        <f>'Q4 Assumptions'!$G$60*D$12+SUMIFS('Q4 Assumptions'!$C$85:$C$133,'Q4 Assumptions'!$D$85:$D$133,'Q4 Assumptions'!$A$60,'Q4 Assumptions'!$B$85:$B$133,"&gt;="&amp;D$10,'Q4 Assumptions'!$B$85:$B$133,"&lt;="&amp;D$11)</f>
        <v/>
      </c>
      <c r="E40" s="103">
        <f>'Q4 Assumptions'!$G$60*E$12+SUMIFS('Q4 Assumptions'!$C$85:$C$133,'Q4 Assumptions'!$D$85:$D$133,'Q4 Assumptions'!$A$60,'Q4 Assumptions'!$B$85:$B$133,"&gt;="&amp;E$10,'Q4 Assumptions'!$B$85:$B$133,"&lt;="&amp;E$11)</f>
        <v/>
      </c>
      <c r="F40" s="103">
        <f>'Q4 Assumptions'!$G$60*F$12+SUMIFS('Q4 Assumptions'!$C$85:$C$133,'Q4 Assumptions'!$D$85:$D$133,'Q4 Assumptions'!$A$60,'Q4 Assumptions'!$B$85:$B$133,"&gt;="&amp;F$10,'Q4 Assumptions'!$B$85:$B$133,"&lt;="&amp;F$11)</f>
        <v/>
      </c>
      <c r="G40" s="103">
        <f>'Q4 Assumptions'!$G$60*G$12+SUMIFS('Q4 Assumptions'!$C$85:$C$133,'Q4 Assumptions'!$D$85:$D$133,'Q4 Assumptions'!$A$60,'Q4 Assumptions'!$B$85:$B$133,"&gt;="&amp;G$10,'Q4 Assumptions'!$B$85:$B$133,"&lt;="&amp;G$11)</f>
        <v/>
      </c>
      <c r="H40" s="103">
        <f>'Q4 Assumptions'!$G$60*H$12+SUMIFS('Q4 Assumptions'!$C$85:$C$133,'Q4 Assumptions'!$D$85:$D$133,'Q4 Assumptions'!$A$60,'Q4 Assumptions'!$B$85:$B$133,"&gt;="&amp;H$10,'Q4 Assumptions'!$B$85:$B$133,"&lt;="&amp;H$11)</f>
        <v/>
      </c>
      <c r="I40" s="103">
        <f>'Q4 Assumptions'!$G$60*I$12+SUMIFS('Q4 Assumptions'!$C$85:$C$133,'Q4 Assumptions'!$D$85:$D$133,'Q4 Assumptions'!$A$60,'Q4 Assumptions'!$B$85:$B$133,"&gt;="&amp;I$10,'Q4 Assumptions'!$B$85:$B$133,"&lt;="&amp;I$11)</f>
        <v/>
      </c>
      <c r="J40" s="103">
        <f>'Q4 Assumptions'!$G$60*J$12+SUMIFS('Q4 Assumptions'!$C$85:$C$133,'Q4 Assumptions'!$D$85:$D$133,'Q4 Assumptions'!$A$60,'Q4 Assumptions'!$B$85:$B$133,"&gt;="&amp;J$10,'Q4 Assumptions'!$B$85:$B$133,"&lt;="&amp;J$11)</f>
        <v/>
      </c>
      <c r="K40" s="103">
        <f>'Q4 Assumptions'!$G$60*K$12+SUMIFS('Q4 Assumptions'!$C$85:$C$133,'Q4 Assumptions'!$D$85:$D$133,'Q4 Assumptions'!$A$60,'Q4 Assumptions'!$B$85:$B$133,"&gt;="&amp;K$10,'Q4 Assumptions'!$B$85:$B$133,"&lt;="&amp;K$11)</f>
        <v/>
      </c>
      <c r="L40" s="103">
        <f>'Q4 Assumptions'!$G$60*L$12+SUMIFS('Q4 Assumptions'!$C$85:$C$133,'Q4 Assumptions'!$D$85:$D$133,'Q4 Assumptions'!$A$60,'Q4 Assumptions'!$B$85:$B$133,"&gt;="&amp;L$10,'Q4 Assumptions'!$B$85:$B$133,"&lt;="&amp;L$11)</f>
        <v/>
      </c>
      <c r="M40" s="103">
        <f>'Q4 Assumptions'!$G$60*M$12+SUMIFS('Q4 Assumptions'!$C$85:$C$133,'Q4 Assumptions'!$D$85:$D$133,'Q4 Assumptions'!$A$60,'Q4 Assumptions'!$B$85:$B$133,"&gt;="&amp;M$10,'Q4 Assumptions'!$B$85:$B$133,"&lt;="&amp;M$11)</f>
        <v/>
      </c>
      <c r="N40" s="103">
        <f>'Q4 Assumptions'!$G$60*N$12+SUMIFS('Q4 Assumptions'!$C$85:$C$133,'Q4 Assumptions'!$D$85:$D$133,'Q4 Assumptions'!$A$60,'Q4 Assumptions'!$B$85:$B$133,"&gt;="&amp;N$10,'Q4 Assumptions'!$B$85:$B$133,"&lt;="&amp;N$11)</f>
        <v/>
      </c>
      <c r="O40" s="103">
        <f>'Q4 Assumptions'!$G$60*O$12+SUMIFS('Q4 Assumptions'!$C$85:$C$133,'Q4 Assumptions'!$D$85:$D$133,'Q4 Assumptions'!$A$60,'Q4 Assumptions'!$B$85:$B$133,"&gt;="&amp;O$10,'Q4 Assumptions'!$B$85:$B$133,"&lt;="&amp;O$11)</f>
        <v/>
      </c>
      <c r="P40" s="103">
        <f>'Q4 Assumptions'!$G$60*P$12+SUMIFS('Q4 Assumptions'!$C$85:$C$133,'Q4 Assumptions'!$D$85:$D$133,'Q4 Assumptions'!$A$60,'Q4 Assumptions'!$B$85:$B$133,"&gt;="&amp;P$10,'Q4 Assumptions'!$B$85:$B$133,"&lt;="&amp;P$11)</f>
        <v/>
      </c>
      <c r="Q40" s="103">
        <f>'Q4 Assumptions'!$G$60*Q$12+SUMIFS('Q4 Assumptions'!$C$85:$C$133,'Q4 Assumptions'!$D$85:$D$133,'Q4 Assumptions'!$A$60,'Q4 Assumptions'!$B$85:$B$133,"&gt;="&amp;Q$10,'Q4 Assumptions'!$B$85:$B$133,"&lt;="&amp;Q$11)</f>
        <v/>
      </c>
      <c r="R40" s="104">
        <f>SUM(D40:Q40)</f>
        <v/>
      </c>
    </row>
    <row r="41">
      <c r="A41" s="105" t="inlineStr">
        <is>
          <t>Net Cash Flow from Operations</t>
        </is>
      </c>
      <c r="B41" s="106" t="n"/>
      <c r="C41" s="107">
        <f>C14+C15+C16+C17+C18+C21+C22+C23+C24+C25+C26+C27+C28+C29+C30+C31+C32+C33+C34+C35+C36+C37+C38+C39+C40</f>
        <v/>
      </c>
      <c r="D41" s="107">
        <f>D14+D15+D16+D17+D18+D21+D22+D23+D24+D25+D26+D27+D28+D29+D30+D31+D32+D33+D34+D35+D36+D37+D38+D39+D40</f>
        <v/>
      </c>
      <c r="E41" s="107">
        <f>E14+E15+E16+E17+E18+E21+E22+E23+E24+E25+E26+E27+E28+E29+E30+E31+E32+E33+E34+E35+E36+E37+E38+E39+E40</f>
        <v/>
      </c>
      <c r="F41" s="107">
        <f>F14+F15+F16+F17+F18+F21+F22+F23+F24+F25+F26+F27+F28+F29+F30+F31+F32+F33+F34+F35+F36+F37+F38+F39+F40</f>
        <v/>
      </c>
      <c r="G41" s="107">
        <f>G14+G15+G16+G17+G18+G21+G22+G23+G24+G25+G26+G27+G28+G29+G30+G31+G32+G33+G34+G35+G36+G37+G38+G39+G40</f>
        <v/>
      </c>
      <c r="H41" s="107">
        <f>H14+H15+H16+H17+H18+H21+H22+H23+H24+H25+H26+H27+H28+H29+H30+H31+H32+H33+H34+H35+H36+H37+H38+H39+H40</f>
        <v/>
      </c>
      <c r="I41" s="107">
        <f>I14+I15+I16+I17+I18+I21+I22+I23+I24+I25+I26+I27+I28+I29+I30+I31+I32+I33+I34+I35+I36+I37+I38+I39+I40</f>
        <v/>
      </c>
      <c r="J41" s="107">
        <f>J14+J15+J16+J17+J18+J21+J22+J23+J24+J25+J26+J27+J28+J29+J30+J31+J32+J33+J34+J35+J36+J37+J38+J39+J40</f>
        <v/>
      </c>
      <c r="K41" s="107">
        <f>K14+K15+K16+K17+K18+K21+K22+K23+K24+K25+K26+K27+K28+K29+K30+K31+K32+K33+K34+K35+K36+K37+K38+K39+K40</f>
        <v/>
      </c>
      <c r="L41" s="107">
        <f>L14+L15+L16+L17+L18+L21+L22+L23+L24+L25+L26+L27+L28+L29+L30+L31+L32+L33+L34+L35+L36+L37+L38+L39+L40</f>
        <v/>
      </c>
      <c r="M41" s="107">
        <f>M14+M15+M16+M17+M18+M21+M22+M23+M24+M25+M26+M27+M28+M29+M30+M31+M32+M33+M34+M35+M36+M37+M38+M39+M40</f>
        <v/>
      </c>
      <c r="N41" s="107">
        <f>N14+N15+N16+N17+N18+N21+N22+N23+N24+N25+N26+N27+N28+N29+N30+N31+N32+N33+N34+N35+N36+N37+N38+N39+N40</f>
        <v/>
      </c>
      <c r="O41" s="107">
        <f>O14+O15+O16+O17+O18+O21+O22+O23+O24+O25+O26+O27+O28+O29+O30+O31+O32+O33+O34+O35+O36+O37+O38+O39+O40</f>
        <v/>
      </c>
      <c r="P41" s="107">
        <f>P14+P15+P16+P17+P18+P21+P22+P23+P24+P25+P26+P27+P28+P29+P30+P31+P32+P33+P34+P35+P36+P37+P38+P39+P40</f>
        <v/>
      </c>
      <c r="Q41" s="107">
        <f>Q14+Q15+Q16+Q17+Q18+Q21+Q22+Q23+Q24+Q25+Q26+Q27+Q28+Q29+Q30+Q31+Q32+Q33+Q34+Q35+Q36+Q37+Q38+Q39+Q40</f>
        <v/>
      </c>
      <c r="R41" s="107">
        <f>R14+R15+R16+R17+R18+R21+R22+R23+R24+R25+R26+R27+R28+R29+R30+R31+R32+R33+R34+R35+R36+R37+R38+R39+R40</f>
        <v/>
      </c>
    </row>
    <row r="44">
      <c r="A44" s="53" t="inlineStr">
        <is>
          <t>Investing Activities</t>
        </is>
      </c>
      <c r="B44" s="108" t="n"/>
      <c r="C44" s="108" t="n"/>
      <c r="D44" s="108" t="n"/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</row>
    <row r="45">
      <c r="A45" s="100" t="inlineStr">
        <is>
          <t>Cash receipts from</t>
        </is>
      </c>
      <c r="B45" s="101" t="n"/>
      <c r="C45" s="101" t="n"/>
      <c r="D45" s="101" t="n"/>
      <c r="E45" s="101" t="n"/>
      <c r="F45" s="101" t="n"/>
      <c r="G45" s="101" t="n"/>
      <c r="H45" s="101" t="n"/>
      <c r="I45" s="101" t="n"/>
      <c r="J45" s="101" t="n"/>
      <c r="K45" s="101" t="n"/>
      <c r="L45" s="101" t="n"/>
      <c r="M45" s="101" t="n"/>
      <c r="N45" s="101" t="n"/>
      <c r="O45" s="101" t="n"/>
      <c r="P45" s="101" t="n"/>
      <c r="Q45" s="101" t="n"/>
      <c r="R45" s="101" t="n"/>
    </row>
    <row r="46">
      <c r="A46" s="101" t="n"/>
      <c r="B46" s="100" t="inlineStr">
        <is>
          <t>Proceeds from sale of equipment</t>
        </is>
      </c>
      <c r="C46" s="102">
        <f>'Q4 Assumptions'!C61</f>
        <v/>
      </c>
      <c r="D46" s="103">
        <f>'Q4 Assumptions'!$G$61*D$12+SUMIFS('Q4 Assumptions'!$C$85:$C$133,'Q4 Assumptions'!$D$85:$D$133,'Q4 Assumptions'!$A$61,'Q4 Assumptions'!$B$85:$B$133,"&gt;="&amp;D$10,'Q4 Assumptions'!$B$85:$B$133,"&lt;="&amp;D$11)</f>
        <v/>
      </c>
      <c r="E46" s="103">
        <f>'Q4 Assumptions'!$G$61*E$12+SUMIFS('Q4 Assumptions'!$C$85:$C$133,'Q4 Assumptions'!$D$85:$D$133,'Q4 Assumptions'!$A$61,'Q4 Assumptions'!$B$85:$B$133,"&gt;="&amp;E$10,'Q4 Assumptions'!$B$85:$B$133,"&lt;="&amp;E$11)</f>
        <v/>
      </c>
      <c r="F46" s="103">
        <f>'Q4 Assumptions'!$G$61*F$12+SUMIFS('Q4 Assumptions'!$C$85:$C$133,'Q4 Assumptions'!$D$85:$D$133,'Q4 Assumptions'!$A$61,'Q4 Assumptions'!$B$85:$B$133,"&gt;="&amp;F$10,'Q4 Assumptions'!$B$85:$B$133,"&lt;="&amp;F$11)</f>
        <v/>
      </c>
      <c r="G46" s="103">
        <f>'Q4 Assumptions'!$G$61*G$12+SUMIFS('Q4 Assumptions'!$C$85:$C$133,'Q4 Assumptions'!$D$85:$D$133,'Q4 Assumptions'!$A$61,'Q4 Assumptions'!$B$85:$B$133,"&gt;="&amp;G$10,'Q4 Assumptions'!$B$85:$B$133,"&lt;="&amp;G$11)</f>
        <v/>
      </c>
      <c r="H46" s="103">
        <f>'Q4 Assumptions'!$G$61*H$12+SUMIFS('Q4 Assumptions'!$C$85:$C$133,'Q4 Assumptions'!$D$85:$D$133,'Q4 Assumptions'!$A$61,'Q4 Assumptions'!$B$85:$B$133,"&gt;="&amp;H$10,'Q4 Assumptions'!$B$85:$B$133,"&lt;="&amp;H$11)</f>
        <v/>
      </c>
      <c r="I46" s="103">
        <f>'Q4 Assumptions'!$G$61*I$12+SUMIFS('Q4 Assumptions'!$C$85:$C$133,'Q4 Assumptions'!$D$85:$D$133,'Q4 Assumptions'!$A$61,'Q4 Assumptions'!$B$85:$B$133,"&gt;="&amp;I$10,'Q4 Assumptions'!$B$85:$B$133,"&lt;="&amp;I$11)</f>
        <v/>
      </c>
      <c r="J46" s="103">
        <f>'Q4 Assumptions'!$G$61*J$12+SUMIFS('Q4 Assumptions'!$C$85:$C$133,'Q4 Assumptions'!$D$85:$D$133,'Q4 Assumptions'!$A$61,'Q4 Assumptions'!$B$85:$B$133,"&gt;="&amp;J$10,'Q4 Assumptions'!$B$85:$B$133,"&lt;="&amp;J$11)</f>
        <v/>
      </c>
      <c r="K46" s="103">
        <f>'Q4 Assumptions'!$G$61*K$12+SUMIFS('Q4 Assumptions'!$C$85:$C$133,'Q4 Assumptions'!$D$85:$D$133,'Q4 Assumptions'!$A$61,'Q4 Assumptions'!$B$85:$B$133,"&gt;="&amp;K$10,'Q4 Assumptions'!$B$85:$B$133,"&lt;="&amp;K$11)</f>
        <v/>
      </c>
      <c r="L46" s="103">
        <f>'Q4 Assumptions'!$G$61*L$12+SUMIFS('Q4 Assumptions'!$C$85:$C$133,'Q4 Assumptions'!$D$85:$D$133,'Q4 Assumptions'!$A$61,'Q4 Assumptions'!$B$85:$B$133,"&gt;="&amp;L$10,'Q4 Assumptions'!$B$85:$B$133,"&lt;="&amp;L$11)</f>
        <v/>
      </c>
      <c r="M46" s="103">
        <f>'Q4 Assumptions'!$G$61*M$12+SUMIFS('Q4 Assumptions'!$C$85:$C$133,'Q4 Assumptions'!$D$85:$D$133,'Q4 Assumptions'!$A$61,'Q4 Assumptions'!$B$85:$B$133,"&gt;="&amp;M$10,'Q4 Assumptions'!$B$85:$B$133,"&lt;="&amp;M$11)</f>
        <v/>
      </c>
      <c r="N46" s="103">
        <f>'Q4 Assumptions'!$G$61*N$12+SUMIFS('Q4 Assumptions'!$C$85:$C$133,'Q4 Assumptions'!$D$85:$D$133,'Q4 Assumptions'!$A$61,'Q4 Assumptions'!$B$85:$B$133,"&gt;="&amp;N$10,'Q4 Assumptions'!$B$85:$B$133,"&lt;="&amp;N$11)</f>
        <v/>
      </c>
      <c r="O46" s="103">
        <f>'Q4 Assumptions'!$G$61*O$12+SUMIFS('Q4 Assumptions'!$C$85:$C$133,'Q4 Assumptions'!$D$85:$D$133,'Q4 Assumptions'!$A$61,'Q4 Assumptions'!$B$85:$B$133,"&gt;="&amp;O$10,'Q4 Assumptions'!$B$85:$B$133,"&lt;="&amp;O$11)</f>
        <v/>
      </c>
      <c r="P46" s="103">
        <f>'Q4 Assumptions'!$G$61*P$12+SUMIFS('Q4 Assumptions'!$C$85:$C$133,'Q4 Assumptions'!$D$85:$D$133,'Q4 Assumptions'!$A$61,'Q4 Assumptions'!$B$85:$B$133,"&gt;="&amp;P$10,'Q4 Assumptions'!$B$85:$B$133,"&lt;="&amp;P$11)</f>
        <v/>
      </c>
      <c r="Q46" s="103">
        <f>'Q4 Assumptions'!$G$61*Q$12+SUMIFS('Q4 Assumptions'!$C$85:$C$133,'Q4 Assumptions'!$D$85:$D$133,'Q4 Assumptions'!$A$61,'Q4 Assumptions'!$B$85:$B$133,"&gt;="&amp;Q$10,'Q4 Assumptions'!$B$85:$B$133,"&lt;="&amp;Q$11)</f>
        <v/>
      </c>
      <c r="R46" s="104">
        <f>SUM(D46:Q46)</f>
        <v/>
      </c>
    </row>
    <row r="47">
      <c r="A47" s="101" t="n"/>
      <c r="B47" s="100" t="inlineStr">
        <is>
          <t>Proceeds from sale of motor vehicle</t>
        </is>
      </c>
      <c r="C47" s="102">
        <f>'Q4 Assumptions'!C62</f>
        <v/>
      </c>
      <c r="D47" s="103">
        <f>'Q4 Assumptions'!$G$62*D$12+SUMIFS('Q4 Assumptions'!$C$85:$C$133,'Q4 Assumptions'!$D$85:$D$133,'Q4 Assumptions'!$A$62,'Q4 Assumptions'!$B$85:$B$133,"&gt;="&amp;D$10,'Q4 Assumptions'!$B$85:$B$133,"&lt;="&amp;D$11)</f>
        <v/>
      </c>
      <c r="E47" s="103">
        <f>'Q4 Assumptions'!$G$62*E$12+SUMIFS('Q4 Assumptions'!$C$85:$C$133,'Q4 Assumptions'!$D$85:$D$133,'Q4 Assumptions'!$A$62,'Q4 Assumptions'!$B$85:$B$133,"&gt;="&amp;E$10,'Q4 Assumptions'!$B$85:$B$133,"&lt;="&amp;E$11)</f>
        <v/>
      </c>
      <c r="F47" s="103">
        <f>'Q4 Assumptions'!$G$62*F$12+SUMIFS('Q4 Assumptions'!$C$85:$C$133,'Q4 Assumptions'!$D$85:$D$133,'Q4 Assumptions'!$A$62,'Q4 Assumptions'!$B$85:$B$133,"&gt;="&amp;F$10,'Q4 Assumptions'!$B$85:$B$133,"&lt;="&amp;F$11)</f>
        <v/>
      </c>
      <c r="G47" s="103">
        <f>'Q4 Assumptions'!$G$62*G$12+SUMIFS('Q4 Assumptions'!$C$85:$C$133,'Q4 Assumptions'!$D$85:$D$133,'Q4 Assumptions'!$A$62,'Q4 Assumptions'!$B$85:$B$133,"&gt;="&amp;G$10,'Q4 Assumptions'!$B$85:$B$133,"&lt;="&amp;G$11)</f>
        <v/>
      </c>
      <c r="H47" s="103">
        <f>'Q4 Assumptions'!$G$62*H$12+SUMIFS('Q4 Assumptions'!$C$85:$C$133,'Q4 Assumptions'!$D$85:$D$133,'Q4 Assumptions'!$A$62,'Q4 Assumptions'!$B$85:$B$133,"&gt;="&amp;H$10,'Q4 Assumptions'!$B$85:$B$133,"&lt;="&amp;H$11)</f>
        <v/>
      </c>
      <c r="I47" s="103">
        <f>'Q4 Assumptions'!$G$62*I$12+SUMIFS('Q4 Assumptions'!$C$85:$C$133,'Q4 Assumptions'!$D$85:$D$133,'Q4 Assumptions'!$A$62,'Q4 Assumptions'!$B$85:$B$133,"&gt;="&amp;I$10,'Q4 Assumptions'!$B$85:$B$133,"&lt;="&amp;I$11)</f>
        <v/>
      </c>
      <c r="J47" s="103">
        <f>'Q4 Assumptions'!$G$62*J$12+SUMIFS('Q4 Assumptions'!$C$85:$C$133,'Q4 Assumptions'!$D$85:$D$133,'Q4 Assumptions'!$A$62,'Q4 Assumptions'!$B$85:$B$133,"&gt;="&amp;J$10,'Q4 Assumptions'!$B$85:$B$133,"&lt;="&amp;J$11)</f>
        <v/>
      </c>
      <c r="K47" s="103">
        <f>'Q4 Assumptions'!$G$62*K$12+SUMIFS('Q4 Assumptions'!$C$85:$C$133,'Q4 Assumptions'!$D$85:$D$133,'Q4 Assumptions'!$A$62,'Q4 Assumptions'!$B$85:$B$133,"&gt;="&amp;K$10,'Q4 Assumptions'!$B$85:$B$133,"&lt;="&amp;K$11)</f>
        <v/>
      </c>
      <c r="L47" s="103">
        <f>'Q4 Assumptions'!$G$62*L$12+SUMIFS('Q4 Assumptions'!$C$85:$C$133,'Q4 Assumptions'!$D$85:$D$133,'Q4 Assumptions'!$A$62,'Q4 Assumptions'!$B$85:$B$133,"&gt;="&amp;L$10,'Q4 Assumptions'!$B$85:$B$133,"&lt;="&amp;L$11)</f>
        <v/>
      </c>
      <c r="M47" s="103">
        <f>'Q4 Assumptions'!$G$62*M$12+SUMIFS('Q4 Assumptions'!$C$85:$C$133,'Q4 Assumptions'!$D$85:$D$133,'Q4 Assumptions'!$A$62,'Q4 Assumptions'!$B$85:$B$133,"&gt;="&amp;M$10,'Q4 Assumptions'!$B$85:$B$133,"&lt;="&amp;M$11)</f>
        <v/>
      </c>
      <c r="N47" s="103">
        <f>'Q4 Assumptions'!$G$62*N$12+SUMIFS('Q4 Assumptions'!$C$85:$C$133,'Q4 Assumptions'!$D$85:$D$133,'Q4 Assumptions'!$A$62,'Q4 Assumptions'!$B$85:$B$133,"&gt;="&amp;N$10,'Q4 Assumptions'!$B$85:$B$133,"&lt;="&amp;N$11)</f>
        <v/>
      </c>
      <c r="O47" s="103">
        <f>'Q4 Assumptions'!$G$62*O$12+SUMIFS('Q4 Assumptions'!$C$85:$C$133,'Q4 Assumptions'!$D$85:$D$133,'Q4 Assumptions'!$A$62,'Q4 Assumptions'!$B$85:$B$133,"&gt;="&amp;O$10,'Q4 Assumptions'!$B$85:$B$133,"&lt;="&amp;O$11)</f>
        <v/>
      </c>
      <c r="P47" s="103">
        <f>'Q4 Assumptions'!$G$62*P$12+SUMIFS('Q4 Assumptions'!$C$85:$C$133,'Q4 Assumptions'!$D$85:$D$133,'Q4 Assumptions'!$A$62,'Q4 Assumptions'!$B$85:$B$133,"&gt;="&amp;P$10,'Q4 Assumptions'!$B$85:$B$133,"&lt;="&amp;P$11)</f>
        <v/>
      </c>
      <c r="Q47" s="103">
        <f>'Q4 Assumptions'!$G$62*Q$12+SUMIFS('Q4 Assumptions'!$C$85:$C$133,'Q4 Assumptions'!$D$85:$D$133,'Q4 Assumptions'!$A$62,'Q4 Assumptions'!$B$85:$B$133,"&gt;="&amp;Q$10,'Q4 Assumptions'!$B$85:$B$133,"&lt;="&amp;Q$11)</f>
        <v/>
      </c>
      <c r="R47" s="104">
        <f>SUM(D47:Q47)</f>
        <v/>
      </c>
    </row>
    <row r="48">
      <c r="A48" s="101" t="n"/>
      <c r="B48" s="100" t="inlineStr">
        <is>
          <t>Collection of Investor funds</t>
        </is>
      </c>
      <c r="C48" s="102">
        <f>'Q4 Assumptions'!C63</f>
        <v/>
      </c>
      <c r="D48" s="103">
        <f>'Q4 Assumptions'!$G$63*D$12+SUMIFS('Q4 Assumptions'!$C$85:$C$133,'Q4 Assumptions'!$D$85:$D$133,'Q4 Assumptions'!$A$63,'Q4 Assumptions'!$B$85:$B$133,"&gt;="&amp;D$10,'Q4 Assumptions'!$B$85:$B$133,"&lt;="&amp;D$11)</f>
        <v/>
      </c>
      <c r="E48" s="103">
        <f>'Q4 Assumptions'!$G$63*E$12+SUMIFS('Q4 Assumptions'!$C$85:$C$133,'Q4 Assumptions'!$D$85:$D$133,'Q4 Assumptions'!$A$63,'Q4 Assumptions'!$B$85:$B$133,"&gt;="&amp;E$10,'Q4 Assumptions'!$B$85:$B$133,"&lt;="&amp;E$11)</f>
        <v/>
      </c>
      <c r="F48" s="103">
        <f>'Q4 Assumptions'!$G$63*F$12+SUMIFS('Q4 Assumptions'!$C$85:$C$133,'Q4 Assumptions'!$D$85:$D$133,'Q4 Assumptions'!$A$63,'Q4 Assumptions'!$B$85:$B$133,"&gt;="&amp;F$10,'Q4 Assumptions'!$B$85:$B$133,"&lt;="&amp;F$11)</f>
        <v/>
      </c>
      <c r="G48" s="103">
        <f>'Q4 Assumptions'!$G$63*G$12+SUMIFS('Q4 Assumptions'!$C$85:$C$133,'Q4 Assumptions'!$D$85:$D$133,'Q4 Assumptions'!$A$63,'Q4 Assumptions'!$B$85:$B$133,"&gt;="&amp;G$10,'Q4 Assumptions'!$B$85:$B$133,"&lt;="&amp;G$11)</f>
        <v/>
      </c>
      <c r="H48" s="103">
        <f>'Q4 Assumptions'!$G$63*H$12+SUMIFS('Q4 Assumptions'!$C$85:$C$133,'Q4 Assumptions'!$D$85:$D$133,'Q4 Assumptions'!$A$63,'Q4 Assumptions'!$B$85:$B$133,"&gt;="&amp;H$10,'Q4 Assumptions'!$B$85:$B$133,"&lt;="&amp;H$11)</f>
        <v/>
      </c>
      <c r="I48" s="103">
        <f>'Q4 Assumptions'!$G$63*I$12+SUMIFS('Q4 Assumptions'!$C$85:$C$133,'Q4 Assumptions'!$D$85:$D$133,'Q4 Assumptions'!$A$63,'Q4 Assumptions'!$B$85:$B$133,"&gt;="&amp;I$10,'Q4 Assumptions'!$B$85:$B$133,"&lt;="&amp;I$11)</f>
        <v/>
      </c>
      <c r="J48" s="103">
        <f>'Q4 Assumptions'!$G$63*J$12+SUMIFS('Q4 Assumptions'!$C$85:$C$133,'Q4 Assumptions'!$D$85:$D$133,'Q4 Assumptions'!$A$63,'Q4 Assumptions'!$B$85:$B$133,"&gt;="&amp;J$10,'Q4 Assumptions'!$B$85:$B$133,"&lt;="&amp;J$11)</f>
        <v/>
      </c>
      <c r="K48" s="103">
        <f>'Q4 Assumptions'!$G$63*K$12+SUMIFS('Q4 Assumptions'!$C$85:$C$133,'Q4 Assumptions'!$D$85:$D$133,'Q4 Assumptions'!$A$63,'Q4 Assumptions'!$B$85:$B$133,"&gt;="&amp;K$10,'Q4 Assumptions'!$B$85:$B$133,"&lt;="&amp;K$11)</f>
        <v/>
      </c>
      <c r="L48" s="103">
        <f>'Q4 Assumptions'!$G$63*L$12+SUMIFS('Q4 Assumptions'!$C$85:$C$133,'Q4 Assumptions'!$D$85:$D$133,'Q4 Assumptions'!$A$63,'Q4 Assumptions'!$B$85:$B$133,"&gt;="&amp;L$10,'Q4 Assumptions'!$B$85:$B$133,"&lt;="&amp;L$11)</f>
        <v/>
      </c>
      <c r="M48" s="103">
        <f>'Q4 Assumptions'!$G$63*M$12+SUMIFS('Q4 Assumptions'!$C$85:$C$133,'Q4 Assumptions'!$D$85:$D$133,'Q4 Assumptions'!$A$63,'Q4 Assumptions'!$B$85:$B$133,"&gt;="&amp;M$10,'Q4 Assumptions'!$B$85:$B$133,"&lt;="&amp;M$11)</f>
        <v/>
      </c>
      <c r="N48" s="103">
        <f>'Q4 Assumptions'!$G$63*N$12+SUMIFS('Q4 Assumptions'!$C$85:$C$133,'Q4 Assumptions'!$D$85:$D$133,'Q4 Assumptions'!$A$63,'Q4 Assumptions'!$B$85:$B$133,"&gt;="&amp;N$10,'Q4 Assumptions'!$B$85:$B$133,"&lt;="&amp;N$11)</f>
        <v/>
      </c>
      <c r="O48" s="103">
        <f>'Q4 Assumptions'!$G$63*O$12+SUMIFS('Q4 Assumptions'!$C$85:$C$133,'Q4 Assumptions'!$D$85:$D$133,'Q4 Assumptions'!$A$63,'Q4 Assumptions'!$B$85:$B$133,"&gt;="&amp;O$10,'Q4 Assumptions'!$B$85:$B$133,"&lt;="&amp;O$11)</f>
        <v/>
      </c>
      <c r="P48" s="103">
        <f>'Q4 Assumptions'!$G$63*P$12+SUMIFS('Q4 Assumptions'!$C$85:$C$133,'Q4 Assumptions'!$D$85:$D$133,'Q4 Assumptions'!$A$63,'Q4 Assumptions'!$B$85:$B$133,"&gt;="&amp;P$10,'Q4 Assumptions'!$B$85:$B$133,"&lt;="&amp;P$11)</f>
        <v/>
      </c>
      <c r="Q48" s="103">
        <f>'Q4 Assumptions'!$G$63*Q$12+SUMIFS('Q4 Assumptions'!$C$85:$C$133,'Q4 Assumptions'!$D$85:$D$133,'Q4 Assumptions'!$A$63,'Q4 Assumptions'!$B$85:$B$133,"&gt;="&amp;Q$10,'Q4 Assumptions'!$B$85:$B$133,"&lt;="&amp;Q$11)</f>
        <v/>
      </c>
      <c r="R48" s="104">
        <f>SUM(D48:Q48)</f>
        <v/>
      </c>
    </row>
    <row r="49">
      <c r="A49" s="101" t="n"/>
      <c r="B49" s="100" t="inlineStr">
        <is>
          <t>Interest received from Maybank pooled</t>
        </is>
      </c>
      <c r="C49" s="102">
        <f>'Q4 Assumptions'!C64</f>
        <v/>
      </c>
      <c r="D49" s="103">
        <f>'Q4 Assumptions'!$G$64*D$12+SUMIFS('Q4 Assumptions'!$C$85:$C$133,'Q4 Assumptions'!$D$85:$D$133,'Q4 Assumptions'!$A$64,'Q4 Assumptions'!$B$85:$B$133,"&gt;="&amp;D$10,'Q4 Assumptions'!$B$85:$B$133,"&lt;="&amp;D$11)</f>
        <v/>
      </c>
      <c r="E49" s="103">
        <f>'Q4 Assumptions'!$G$64*E$12+SUMIFS('Q4 Assumptions'!$C$85:$C$133,'Q4 Assumptions'!$D$85:$D$133,'Q4 Assumptions'!$A$64,'Q4 Assumptions'!$B$85:$B$133,"&gt;="&amp;E$10,'Q4 Assumptions'!$B$85:$B$133,"&lt;="&amp;E$11)</f>
        <v/>
      </c>
      <c r="F49" s="103">
        <f>'Q4 Assumptions'!$G$64*F$12+SUMIFS('Q4 Assumptions'!$C$85:$C$133,'Q4 Assumptions'!$D$85:$D$133,'Q4 Assumptions'!$A$64,'Q4 Assumptions'!$B$85:$B$133,"&gt;="&amp;F$10,'Q4 Assumptions'!$B$85:$B$133,"&lt;="&amp;F$11)</f>
        <v/>
      </c>
      <c r="G49" s="103">
        <f>'Q4 Assumptions'!$G$64*G$12+SUMIFS('Q4 Assumptions'!$C$85:$C$133,'Q4 Assumptions'!$D$85:$D$133,'Q4 Assumptions'!$A$64,'Q4 Assumptions'!$B$85:$B$133,"&gt;="&amp;G$10,'Q4 Assumptions'!$B$85:$B$133,"&lt;="&amp;G$11)</f>
        <v/>
      </c>
      <c r="H49" s="103">
        <f>'Q4 Assumptions'!$G$64*H$12+SUMIFS('Q4 Assumptions'!$C$85:$C$133,'Q4 Assumptions'!$D$85:$D$133,'Q4 Assumptions'!$A$64,'Q4 Assumptions'!$B$85:$B$133,"&gt;="&amp;H$10,'Q4 Assumptions'!$B$85:$B$133,"&lt;="&amp;H$11)</f>
        <v/>
      </c>
      <c r="I49" s="103">
        <f>'Q4 Assumptions'!$G$64*I$12+SUMIFS('Q4 Assumptions'!$C$85:$C$133,'Q4 Assumptions'!$D$85:$D$133,'Q4 Assumptions'!$A$64,'Q4 Assumptions'!$B$85:$B$133,"&gt;="&amp;I$10,'Q4 Assumptions'!$B$85:$B$133,"&lt;="&amp;I$11)</f>
        <v/>
      </c>
      <c r="J49" s="103">
        <f>'Q4 Assumptions'!$G$64*J$12+SUMIFS('Q4 Assumptions'!$C$85:$C$133,'Q4 Assumptions'!$D$85:$D$133,'Q4 Assumptions'!$A$64,'Q4 Assumptions'!$B$85:$B$133,"&gt;="&amp;J$10,'Q4 Assumptions'!$B$85:$B$133,"&lt;="&amp;J$11)</f>
        <v/>
      </c>
      <c r="K49" s="103">
        <f>'Q4 Assumptions'!$G$64*K$12+SUMIFS('Q4 Assumptions'!$C$85:$C$133,'Q4 Assumptions'!$D$85:$D$133,'Q4 Assumptions'!$A$64,'Q4 Assumptions'!$B$85:$B$133,"&gt;="&amp;K$10,'Q4 Assumptions'!$B$85:$B$133,"&lt;="&amp;K$11)</f>
        <v/>
      </c>
      <c r="L49" s="103">
        <f>'Q4 Assumptions'!$G$64*L$12+SUMIFS('Q4 Assumptions'!$C$85:$C$133,'Q4 Assumptions'!$D$85:$D$133,'Q4 Assumptions'!$A$64,'Q4 Assumptions'!$B$85:$B$133,"&gt;="&amp;L$10,'Q4 Assumptions'!$B$85:$B$133,"&lt;="&amp;L$11)</f>
        <v/>
      </c>
      <c r="M49" s="103">
        <f>'Q4 Assumptions'!$G$64*M$12+SUMIFS('Q4 Assumptions'!$C$85:$C$133,'Q4 Assumptions'!$D$85:$D$133,'Q4 Assumptions'!$A$64,'Q4 Assumptions'!$B$85:$B$133,"&gt;="&amp;M$10,'Q4 Assumptions'!$B$85:$B$133,"&lt;="&amp;M$11)</f>
        <v/>
      </c>
      <c r="N49" s="103">
        <f>'Q4 Assumptions'!$G$64*N$12+SUMIFS('Q4 Assumptions'!$C$85:$C$133,'Q4 Assumptions'!$D$85:$D$133,'Q4 Assumptions'!$A$64,'Q4 Assumptions'!$B$85:$B$133,"&gt;="&amp;N$10,'Q4 Assumptions'!$B$85:$B$133,"&lt;="&amp;N$11)</f>
        <v/>
      </c>
      <c r="O49" s="103">
        <f>'Q4 Assumptions'!$G$64*O$12+SUMIFS('Q4 Assumptions'!$C$85:$C$133,'Q4 Assumptions'!$D$85:$D$133,'Q4 Assumptions'!$A$64,'Q4 Assumptions'!$B$85:$B$133,"&gt;="&amp;O$10,'Q4 Assumptions'!$B$85:$B$133,"&lt;="&amp;O$11)</f>
        <v/>
      </c>
      <c r="P49" s="103">
        <f>'Q4 Assumptions'!$G$64*P$12+SUMIFS('Q4 Assumptions'!$C$85:$C$133,'Q4 Assumptions'!$D$85:$D$133,'Q4 Assumptions'!$A$64,'Q4 Assumptions'!$B$85:$B$133,"&gt;="&amp;P$10,'Q4 Assumptions'!$B$85:$B$133,"&lt;="&amp;P$11)</f>
        <v/>
      </c>
      <c r="Q49" s="103">
        <f>'Q4 Assumptions'!$G$64*Q$12+SUMIFS('Q4 Assumptions'!$C$85:$C$133,'Q4 Assumptions'!$D$85:$D$133,'Q4 Assumptions'!$A$64,'Q4 Assumptions'!$B$85:$B$133,"&gt;="&amp;Q$10,'Q4 Assumptions'!$B$85:$B$133,"&lt;="&amp;Q$11)</f>
        <v/>
      </c>
      <c r="R49" s="104">
        <f>SUM(D49:Q49)</f>
        <v/>
      </c>
    </row>
    <row r="50">
      <c r="A50" s="101" t="n"/>
      <c r="B50" s="100" t="inlineStr">
        <is>
          <t>Sale of investment securities</t>
        </is>
      </c>
      <c r="C50" s="102">
        <f>'Q4 Assumptions'!C65</f>
        <v/>
      </c>
      <c r="D50" s="103">
        <f>'Q4 Assumptions'!$G$65*D$12+SUMIFS('Q4 Assumptions'!$C$85:$C$133,'Q4 Assumptions'!$D$85:$D$133,'Q4 Assumptions'!$A$65,'Q4 Assumptions'!$B$85:$B$133,"&gt;="&amp;D$10,'Q4 Assumptions'!$B$85:$B$133,"&lt;="&amp;D$11)</f>
        <v/>
      </c>
      <c r="E50" s="103">
        <f>'Q4 Assumptions'!$G$65*E$12+SUMIFS('Q4 Assumptions'!$C$85:$C$133,'Q4 Assumptions'!$D$85:$D$133,'Q4 Assumptions'!$A$65,'Q4 Assumptions'!$B$85:$B$133,"&gt;="&amp;E$10,'Q4 Assumptions'!$B$85:$B$133,"&lt;="&amp;E$11)</f>
        <v/>
      </c>
      <c r="F50" s="103">
        <f>'Q4 Assumptions'!$G$65*F$12+SUMIFS('Q4 Assumptions'!$C$85:$C$133,'Q4 Assumptions'!$D$85:$D$133,'Q4 Assumptions'!$A$65,'Q4 Assumptions'!$B$85:$B$133,"&gt;="&amp;F$10,'Q4 Assumptions'!$B$85:$B$133,"&lt;="&amp;F$11)</f>
        <v/>
      </c>
      <c r="G50" s="103">
        <f>'Q4 Assumptions'!$G$65*G$12+SUMIFS('Q4 Assumptions'!$C$85:$C$133,'Q4 Assumptions'!$D$85:$D$133,'Q4 Assumptions'!$A$65,'Q4 Assumptions'!$B$85:$B$133,"&gt;="&amp;G$10,'Q4 Assumptions'!$B$85:$B$133,"&lt;="&amp;G$11)</f>
        <v/>
      </c>
      <c r="H50" s="103">
        <f>'Q4 Assumptions'!$G$65*H$12+SUMIFS('Q4 Assumptions'!$C$85:$C$133,'Q4 Assumptions'!$D$85:$D$133,'Q4 Assumptions'!$A$65,'Q4 Assumptions'!$B$85:$B$133,"&gt;="&amp;H$10,'Q4 Assumptions'!$B$85:$B$133,"&lt;="&amp;H$11)</f>
        <v/>
      </c>
      <c r="I50" s="103">
        <f>'Q4 Assumptions'!$G$65*I$12+SUMIFS('Q4 Assumptions'!$C$85:$C$133,'Q4 Assumptions'!$D$85:$D$133,'Q4 Assumptions'!$A$65,'Q4 Assumptions'!$B$85:$B$133,"&gt;="&amp;I$10,'Q4 Assumptions'!$B$85:$B$133,"&lt;="&amp;I$11)</f>
        <v/>
      </c>
      <c r="J50" s="103">
        <f>'Q4 Assumptions'!$G$65*J$12+SUMIFS('Q4 Assumptions'!$C$85:$C$133,'Q4 Assumptions'!$D$85:$D$133,'Q4 Assumptions'!$A$65,'Q4 Assumptions'!$B$85:$B$133,"&gt;="&amp;J$10,'Q4 Assumptions'!$B$85:$B$133,"&lt;="&amp;J$11)</f>
        <v/>
      </c>
      <c r="K50" s="103">
        <f>'Q4 Assumptions'!$G$65*K$12+SUMIFS('Q4 Assumptions'!$C$85:$C$133,'Q4 Assumptions'!$D$85:$D$133,'Q4 Assumptions'!$A$65,'Q4 Assumptions'!$B$85:$B$133,"&gt;="&amp;K$10,'Q4 Assumptions'!$B$85:$B$133,"&lt;="&amp;K$11)</f>
        <v/>
      </c>
      <c r="L50" s="103">
        <f>'Q4 Assumptions'!$G$65*L$12+SUMIFS('Q4 Assumptions'!$C$85:$C$133,'Q4 Assumptions'!$D$85:$D$133,'Q4 Assumptions'!$A$65,'Q4 Assumptions'!$B$85:$B$133,"&gt;="&amp;L$10,'Q4 Assumptions'!$B$85:$B$133,"&lt;="&amp;L$11)</f>
        <v/>
      </c>
      <c r="M50" s="103">
        <f>'Q4 Assumptions'!$G$65*M$12+SUMIFS('Q4 Assumptions'!$C$85:$C$133,'Q4 Assumptions'!$D$85:$D$133,'Q4 Assumptions'!$A$65,'Q4 Assumptions'!$B$85:$B$133,"&gt;="&amp;M$10,'Q4 Assumptions'!$B$85:$B$133,"&lt;="&amp;M$11)</f>
        <v/>
      </c>
      <c r="N50" s="103">
        <f>'Q4 Assumptions'!$G$65*N$12+SUMIFS('Q4 Assumptions'!$C$85:$C$133,'Q4 Assumptions'!$D$85:$D$133,'Q4 Assumptions'!$A$65,'Q4 Assumptions'!$B$85:$B$133,"&gt;="&amp;N$10,'Q4 Assumptions'!$B$85:$B$133,"&lt;="&amp;N$11)</f>
        <v/>
      </c>
      <c r="O50" s="103">
        <f>'Q4 Assumptions'!$G$65*O$12+SUMIFS('Q4 Assumptions'!$C$85:$C$133,'Q4 Assumptions'!$D$85:$D$133,'Q4 Assumptions'!$A$65,'Q4 Assumptions'!$B$85:$B$133,"&gt;="&amp;O$10,'Q4 Assumptions'!$B$85:$B$133,"&lt;="&amp;O$11)</f>
        <v/>
      </c>
      <c r="P50" s="103">
        <f>'Q4 Assumptions'!$G$65*P$12+SUMIFS('Q4 Assumptions'!$C$85:$C$133,'Q4 Assumptions'!$D$85:$D$133,'Q4 Assumptions'!$A$65,'Q4 Assumptions'!$B$85:$B$133,"&gt;="&amp;P$10,'Q4 Assumptions'!$B$85:$B$133,"&lt;="&amp;P$11)</f>
        <v/>
      </c>
      <c r="Q50" s="103">
        <f>'Q4 Assumptions'!$G$65*Q$12+SUMIFS('Q4 Assumptions'!$C$85:$C$133,'Q4 Assumptions'!$D$85:$D$133,'Q4 Assumptions'!$A$65,'Q4 Assumptions'!$B$85:$B$133,"&gt;="&amp;Q$10,'Q4 Assumptions'!$B$85:$B$133,"&lt;="&amp;Q$11)</f>
        <v/>
      </c>
      <c r="R50" s="104">
        <f>SUM(D50:Q50)</f>
        <v/>
      </c>
    </row>
    <row r="51">
      <c r="A51" s="100" t="inlineStr">
        <is>
          <t>Cash paid for</t>
        </is>
      </c>
      <c r="B51" s="101" t="n"/>
      <c r="C51" s="101" t="n"/>
      <c r="D51" s="101" t="n"/>
      <c r="E51" s="101" t="n"/>
      <c r="F51" s="101" t="n"/>
      <c r="G51" s="101" t="n"/>
      <c r="H51" s="101" t="n"/>
      <c r="I51" s="101" t="n"/>
      <c r="J51" s="101" t="n"/>
      <c r="K51" s="101" t="n"/>
      <c r="L51" s="101" t="n"/>
      <c r="M51" s="101" t="n"/>
      <c r="N51" s="101" t="n"/>
      <c r="O51" s="101" t="n"/>
      <c r="P51" s="101" t="n"/>
      <c r="Q51" s="101" t="n"/>
      <c r="R51" s="101" t="n"/>
    </row>
    <row r="52">
      <c r="A52" s="101" t="n"/>
      <c r="B52" s="100" t="inlineStr">
        <is>
          <t>Purchase of property and equipment</t>
        </is>
      </c>
      <c r="C52" s="102">
        <f>'Q4 Assumptions'!C66</f>
        <v/>
      </c>
      <c r="D52" s="103">
        <f>'Q4 Assumptions'!$G$66*D$12+SUMIFS('Q4 Assumptions'!$C$85:$C$133,'Q4 Assumptions'!$D$85:$D$133,'Q4 Assumptions'!$A$66,'Q4 Assumptions'!$B$85:$B$133,"&gt;="&amp;D$10,'Q4 Assumptions'!$B$85:$B$133,"&lt;="&amp;D$11)</f>
        <v/>
      </c>
      <c r="E52" s="103">
        <f>'Q4 Assumptions'!$G$66*E$12+SUMIFS('Q4 Assumptions'!$C$85:$C$133,'Q4 Assumptions'!$D$85:$D$133,'Q4 Assumptions'!$A$66,'Q4 Assumptions'!$B$85:$B$133,"&gt;="&amp;E$10,'Q4 Assumptions'!$B$85:$B$133,"&lt;="&amp;E$11)</f>
        <v/>
      </c>
      <c r="F52" s="103">
        <f>'Q4 Assumptions'!$G$66*F$12+SUMIFS('Q4 Assumptions'!$C$85:$C$133,'Q4 Assumptions'!$D$85:$D$133,'Q4 Assumptions'!$A$66,'Q4 Assumptions'!$B$85:$B$133,"&gt;="&amp;F$10,'Q4 Assumptions'!$B$85:$B$133,"&lt;="&amp;F$11)</f>
        <v/>
      </c>
      <c r="G52" s="103">
        <f>'Q4 Assumptions'!$G$66*G$12+SUMIFS('Q4 Assumptions'!$C$85:$C$133,'Q4 Assumptions'!$D$85:$D$133,'Q4 Assumptions'!$A$66,'Q4 Assumptions'!$B$85:$B$133,"&gt;="&amp;G$10,'Q4 Assumptions'!$B$85:$B$133,"&lt;="&amp;G$11)</f>
        <v/>
      </c>
      <c r="H52" s="103">
        <f>'Q4 Assumptions'!$G$66*H$12+SUMIFS('Q4 Assumptions'!$C$85:$C$133,'Q4 Assumptions'!$D$85:$D$133,'Q4 Assumptions'!$A$66,'Q4 Assumptions'!$B$85:$B$133,"&gt;="&amp;H$10,'Q4 Assumptions'!$B$85:$B$133,"&lt;="&amp;H$11)</f>
        <v/>
      </c>
      <c r="I52" s="103">
        <f>'Q4 Assumptions'!$G$66*I$12+SUMIFS('Q4 Assumptions'!$C$85:$C$133,'Q4 Assumptions'!$D$85:$D$133,'Q4 Assumptions'!$A$66,'Q4 Assumptions'!$B$85:$B$133,"&gt;="&amp;I$10,'Q4 Assumptions'!$B$85:$B$133,"&lt;="&amp;I$11)</f>
        <v/>
      </c>
      <c r="J52" s="103">
        <f>'Q4 Assumptions'!$G$66*J$12+SUMIFS('Q4 Assumptions'!$C$85:$C$133,'Q4 Assumptions'!$D$85:$D$133,'Q4 Assumptions'!$A$66,'Q4 Assumptions'!$B$85:$B$133,"&gt;="&amp;J$10,'Q4 Assumptions'!$B$85:$B$133,"&lt;="&amp;J$11)</f>
        <v/>
      </c>
      <c r="K52" s="103">
        <f>'Q4 Assumptions'!$G$66*K$12+SUMIFS('Q4 Assumptions'!$C$85:$C$133,'Q4 Assumptions'!$D$85:$D$133,'Q4 Assumptions'!$A$66,'Q4 Assumptions'!$B$85:$B$133,"&gt;="&amp;K$10,'Q4 Assumptions'!$B$85:$B$133,"&lt;="&amp;K$11)</f>
        <v/>
      </c>
      <c r="L52" s="103">
        <f>'Q4 Assumptions'!$G$66*L$12+SUMIFS('Q4 Assumptions'!$C$85:$C$133,'Q4 Assumptions'!$D$85:$D$133,'Q4 Assumptions'!$A$66,'Q4 Assumptions'!$B$85:$B$133,"&gt;="&amp;L$10,'Q4 Assumptions'!$B$85:$B$133,"&lt;="&amp;L$11)</f>
        <v/>
      </c>
      <c r="M52" s="103">
        <f>'Q4 Assumptions'!$G$66*M$12+SUMIFS('Q4 Assumptions'!$C$85:$C$133,'Q4 Assumptions'!$D$85:$D$133,'Q4 Assumptions'!$A$66,'Q4 Assumptions'!$B$85:$B$133,"&gt;="&amp;M$10,'Q4 Assumptions'!$B$85:$B$133,"&lt;="&amp;M$11)</f>
        <v/>
      </c>
      <c r="N52" s="103">
        <f>'Q4 Assumptions'!$G$66*N$12+SUMIFS('Q4 Assumptions'!$C$85:$C$133,'Q4 Assumptions'!$D$85:$D$133,'Q4 Assumptions'!$A$66,'Q4 Assumptions'!$B$85:$B$133,"&gt;="&amp;N$10,'Q4 Assumptions'!$B$85:$B$133,"&lt;="&amp;N$11)</f>
        <v/>
      </c>
      <c r="O52" s="103">
        <f>'Q4 Assumptions'!$G$66*O$12+SUMIFS('Q4 Assumptions'!$C$85:$C$133,'Q4 Assumptions'!$D$85:$D$133,'Q4 Assumptions'!$A$66,'Q4 Assumptions'!$B$85:$B$133,"&gt;="&amp;O$10,'Q4 Assumptions'!$B$85:$B$133,"&lt;="&amp;O$11)</f>
        <v/>
      </c>
      <c r="P52" s="103">
        <f>'Q4 Assumptions'!$G$66*P$12+SUMIFS('Q4 Assumptions'!$C$85:$C$133,'Q4 Assumptions'!$D$85:$D$133,'Q4 Assumptions'!$A$66,'Q4 Assumptions'!$B$85:$B$133,"&gt;="&amp;P$10,'Q4 Assumptions'!$B$85:$B$133,"&lt;="&amp;P$11)</f>
        <v/>
      </c>
      <c r="Q52" s="103">
        <f>'Q4 Assumptions'!$G$66*Q$12+SUMIFS('Q4 Assumptions'!$C$85:$C$133,'Q4 Assumptions'!$D$85:$D$133,'Q4 Assumptions'!$A$66,'Q4 Assumptions'!$B$85:$B$133,"&gt;="&amp;Q$10,'Q4 Assumptions'!$B$85:$B$133,"&lt;="&amp;Q$11)</f>
        <v/>
      </c>
      <c r="R52" s="104">
        <f>SUM(D52:Q52)</f>
        <v/>
      </c>
    </row>
    <row r="53">
      <c r="A53" s="101" t="n"/>
      <c r="B53" s="100" t="inlineStr">
        <is>
          <t>Capex New Branches</t>
        </is>
      </c>
      <c r="C53" s="102">
        <f>'Q4 Assumptions'!C67</f>
        <v/>
      </c>
      <c r="D53" s="103">
        <f>'Q4 Assumptions'!$G$67*D$12+SUMIFS('Q4 Assumptions'!$C$85:$C$133,'Q4 Assumptions'!$D$85:$D$133,'Q4 Assumptions'!$A$67,'Q4 Assumptions'!$B$85:$B$133,"&gt;="&amp;D$10,'Q4 Assumptions'!$B$85:$B$133,"&lt;="&amp;D$11)+D89</f>
        <v/>
      </c>
      <c r="E53" s="103">
        <f>'Q4 Assumptions'!$G$67*E$12+SUMIFS('Q4 Assumptions'!$C$85:$C$133,'Q4 Assumptions'!$D$85:$D$133,'Q4 Assumptions'!$A$67,'Q4 Assumptions'!$B$85:$B$133,"&gt;="&amp;E$10,'Q4 Assumptions'!$B$85:$B$133,"&lt;="&amp;E$11)+E89</f>
        <v/>
      </c>
      <c r="F53" s="103">
        <f>'Q4 Assumptions'!$G$67*F$12+SUMIFS('Q4 Assumptions'!$C$85:$C$133,'Q4 Assumptions'!$D$85:$D$133,'Q4 Assumptions'!$A$67,'Q4 Assumptions'!$B$85:$B$133,"&gt;="&amp;F$10,'Q4 Assumptions'!$B$85:$B$133,"&lt;="&amp;F$11)+F89</f>
        <v/>
      </c>
      <c r="G53" s="103">
        <f>'Q4 Assumptions'!$G$67*G$12+SUMIFS('Q4 Assumptions'!$C$85:$C$133,'Q4 Assumptions'!$D$85:$D$133,'Q4 Assumptions'!$A$67,'Q4 Assumptions'!$B$85:$B$133,"&gt;="&amp;G$10,'Q4 Assumptions'!$B$85:$B$133,"&lt;="&amp;G$11)+G89</f>
        <v/>
      </c>
      <c r="H53" s="103">
        <f>'Q4 Assumptions'!$G$67*H$12+SUMIFS('Q4 Assumptions'!$C$85:$C$133,'Q4 Assumptions'!$D$85:$D$133,'Q4 Assumptions'!$A$67,'Q4 Assumptions'!$B$85:$B$133,"&gt;="&amp;H$10,'Q4 Assumptions'!$B$85:$B$133,"&lt;="&amp;H$11)+H89</f>
        <v/>
      </c>
      <c r="I53" s="103">
        <f>'Q4 Assumptions'!$G$67*I$12+SUMIFS('Q4 Assumptions'!$C$85:$C$133,'Q4 Assumptions'!$D$85:$D$133,'Q4 Assumptions'!$A$67,'Q4 Assumptions'!$B$85:$B$133,"&gt;="&amp;I$10,'Q4 Assumptions'!$B$85:$B$133,"&lt;="&amp;I$11)+I89</f>
        <v/>
      </c>
      <c r="J53" s="103">
        <f>'Q4 Assumptions'!$G$67*J$12+SUMIFS('Q4 Assumptions'!$C$85:$C$133,'Q4 Assumptions'!$D$85:$D$133,'Q4 Assumptions'!$A$67,'Q4 Assumptions'!$B$85:$B$133,"&gt;="&amp;J$10,'Q4 Assumptions'!$B$85:$B$133,"&lt;="&amp;J$11)+J89</f>
        <v/>
      </c>
      <c r="K53" s="103">
        <f>'Q4 Assumptions'!$G$67*K$12+SUMIFS('Q4 Assumptions'!$C$85:$C$133,'Q4 Assumptions'!$D$85:$D$133,'Q4 Assumptions'!$A$67,'Q4 Assumptions'!$B$85:$B$133,"&gt;="&amp;K$10,'Q4 Assumptions'!$B$85:$B$133,"&lt;="&amp;K$11)+K89</f>
        <v/>
      </c>
      <c r="L53" s="103">
        <f>'Q4 Assumptions'!$G$67*L$12+SUMIFS('Q4 Assumptions'!$C$85:$C$133,'Q4 Assumptions'!$D$85:$D$133,'Q4 Assumptions'!$A$67,'Q4 Assumptions'!$B$85:$B$133,"&gt;="&amp;L$10,'Q4 Assumptions'!$B$85:$B$133,"&lt;="&amp;L$11)+L89</f>
        <v/>
      </c>
      <c r="M53" s="103">
        <f>'Q4 Assumptions'!$G$67*M$12+SUMIFS('Q4 Assumptions'!$C$85:$C$133,'Q4 Assumptions'!$D$85:$D$133,'Q4 Assumptions'!$A$67,'Q4 Assumptions'!$B$85:$B$133,"&gt;="&amp;M$10,'Q4 Assumptions'!$B$85:$B$133,"&lt;="&amp;M$11)+M89</f>
        <v/>
      </c>
      <c r="N53" s="103">
        <f>'Q4 Assumptions'!$G$67*N$12+SUMIFS('Q4 Assumptions'!$C$85:$C$133,'Q4 Assumptions'!$D$85:$D$133,'Q4 Assumptions'!$A$67,'Q4 Assumptions'!$B$85:$B$133,"&gt;="&amp;N$10,'Q4 Assumptions'!$B$85:$B$133,"&lt;="&amp;N$11)+N89</f>
        <v/>
      </c>
      <c r="O53" s="103">
        <f>'Q4 Assumptions'!$G$67*O$12+SUMIFS('Q4 Assumptions'!$C$85:$C$133,'Q4 Assumptions'!$D$85:$D$133,'Q4 Assumptions'!$A$67,'Q4 Assumptions'!$B$85:$B$133,"&gt;="&amp;O$10,'Q4 Assumptions'!$B$85:$B$133,"&lt;="&amp;O$11)+O89</f>
        <v/>
      </c>
      <c r="P53" s="103">
        <f>'Q4 Assumptions'!$G$67*P$12+SUMIFS('Q4 Assumptions'!$C$85:$C$133,'Q4 Assumptions'!$D$85:$D$133,'Q4 Assumptions'!$A$67,'Q4 Assumptions'!$B$85:$B$133,"&gt;="&amp;P$10,'Q4 Assumptions'!$B$85:$B$133,"&lt;="&amp;P$11)+P89</f>
        <v/>
      </c>
      <c r="Q53" s="103">
        <f>'Q4 Assumptions'!$G$67*Q$12+SUMIFS('Q4 Assumptions'!$C$85:$C$133,'Q4 Assumptions'!$D$85:$D$133,'Q4 Assumptions'!$A$67,'Q4 Assumptions'!$B$85:$B$133,"&gt;="&amp;Q$10,'Q4 Assumptions'!$B$85:$B$133,"&lt;="&amp;Q$11)+Q89</f>
        <v/>
      </c>
      <c r="R53" s="104">
        <f>SUM(D53:Q53)</f>
        <v/>
      </c>
    </row>
    <row r="54">
      <c r="A54" s="101" t="n"/>
      <c r="B54" s="100" t="inlineStr">
        <is>
          <t>Placement of Fixed Deposit</t>
        </is>
      </c>
      <c r="C54" s="102">
        <f>'Q4 Assumptions'!C68</f>
        <v/>
      </c>
      <c r="D54" s="103">
        <f>'Q4 Assumptions'!$G$68*D$12+SUMIFS('Q4 Assumptions'!$C$85:$C$133,'Q4 Assumptions'!$D$85:$D$133,'Q4 Assumptions'!$A$68,'Q4 Assumptions'!$B$85:$B$133,"&gt;="&amp;D$10,'Q4 Assumptions'!$B$85:$B$133,"&lt;="&amp;D$11)</f>
        <v/>
      </c>
      <c r="E54" s="103">
        <f>'Q4 Assumptions'!$G$68*E$12+SUMIFS('Q4 Assumptions'!$C$85:$C$133,'Q4 Assumptions'!$D$85:$D$133,'Q4 Assumptions'!$A$68,'Q4 Assumptions'!$B$85:$B$133,"&gt;="&amp;E$10,'Q4 Assumptions'!$B$85:$B$133,"&lt;="&amp;E$11)</f>
        <v/>
      </c>
      <c r="F54" s="103">
        <f>'Q4 Assumptions'!$G$68*F$12+SUMIFS('Q4 Assumptions'!$C$85:$C$133,'Q4 Assumptions'!$D$85:$D$133,'Q4 Assumptions'!$A$68,'Q4 Assumptions'!$B$85:$B$133,"&gt;="&amp;F$10,'Q4 Assumptions'!$B$85:$B$133,"&lt;="&amp;F$11)</f>
        <v/>
      </c>
      <c r="G54" s="103">
        <f>'Q4 Assumptions'!$G$68*G$12+SUMIFS('Q4 Assumptions'!$C$85:$C$133,'Q4 Assumptions'!$D$85:$D$133,'Q4 Assumptions'!$A$68,'Q4 Assumptions'!$B$85:$B$133,"&gt;="&amp;G$10,'Q4 Assumptions'!$B$85:$B$133,"&lt;="&amp;G$11)</f>
        <v/>
      </c>
      <c r="H54" s="103">
        <f>'Q4 Assumptions'!$G$68*H$12+SUMIFS('Q4 Assumptions'!$C$85:$C$133,'Q4 Assumptions'!$D$85:$D$133,'Q4 Assumptions'!$A$68,'Q4 Assumptions'!$B$85:$B$133,"&gt;="&amp;H$10,'Q4 Assumptions'!$B$85:$B$133,"&lt;="&amp;H$11)</f>
        <v/>
      </c>
      <c r="I54" s="103">
        <f>'Q4 Assumptions'!$G$68*I$12+SUMIFS('Q4 Assumptions'!$C$85:$C$133,'Q4 Assumptions'!$D$85:$D$133,'Q4 Assumptions'!$A$68,'Q4 Assumptions'!$B$85:$B$133,"&gt;="&amp;I$10,'Q4 Assumptions'!$B$85:$B$133,"&lt;="&amp;I$11)</f>
        <v/>
      </c>
      <c r="J54" s="103">
        <f>'Q4 Assumptions'!$G$68*J$12+SUMIFS('Q4 Assumptions'!$C$85:$C$133,'Q4 Assumptions'!$D$85:$D$133,'Q4 Assumptions'!$A$68,'Q4 Assumptions'!$B$85:$B$133,"&gt;="&amp;J$10,'Q4 Assumptions'!$B$85:$B$133,"&lt;="&amp;J$11)</f>
        <v/>
      </c>
      <c r="K54" s="103">
        <f>'Q4 Assumptions'!$G$68*K$12+SUMIFS('Q4 Assumptions'!$C$85:$C$133,'Q4 Assumptions'!$D$85:$D$133,'Q4 Assumptions'!$A$68,'Q4 Assumptions'!$B$85:$B$133,"&gt;="&amp;K$10,'Q4 Assumptions'!$B$85:$B$133,"&lt;="&amp;K$11)</f>
        <v/>
      </c>
      <c r="L54" s="103">
        <f>'Q4 Assumptions'!$G$68*L$12+SUMIFS('Q4 Assumptions'!$C$85:$C$133,'Q4 Assumptions'!$D$85:$D$133,'Q4 Assumptions'!$A$68,'Q4 Assumptions'!$B$85:$B$133,"&gt;="&amp;L$10,'Q4 Assumptions'!$B$85:$B$133,"&lt;="&amp;L$11)</f>
        <v/>
      </c>
      <c r="M54" s="103">
        <f>'Q4 Assumptions'!$G$68*M$12+SUMIFS('Q4 Assumptions'!$C$85:$C$133,'Q4 Assumptions'!$D$85:$D$133,'Q4 Assumptions'!$A$68,'Q4 Assumptions'!$B$85:$B$133,"&gt;="&amp;M$10,'Q4 Assumptions'!$B$85:$B$133,"&lt;="&amp;M$11)</f>
        <v/>
      </c>
      <c r="N54" s="103">
        <f>'Q4 Assumptions'!$G$68*N$12+SUMIFS('Q4 Assumptions'!$C$85:$C$133,'Q4 Assumptions'!$D$85:$D$133,'Q4 Assumptions'!$A$68,'Q4 Assumptions'!$B$85:$B$133,"&gt;="&amp;N$10,'Q4 Assumptions'!$B$85:$B$133,"&lt;="&amp;N$11)</f>
        <v/>
      </c>
      <c r="O54" s="103">
        <f>'Q4 Assumptions'!$G$68*O$12+SUMIFS('Q4 Assumptions'!$C$85:$C$133,'Q4 Assumptions'!$D$85:$D$133,'Q4 Assumptions'!$A$68,'Q4 Assumptions'!$B$85:$B$133,"&gt;="&amp;O$10,'Q4 Assumptions'!$B$85:$B$133,"&lt;="&amp;O$11)</f>
        <v/>
      </c>
      <c r="P54" s="103">
        <f>'Q4 Assumptions'!$G$68*P$12+SUMIFS('Q4 Assumptions'!$C$85:$C$133,'Q4 Assumptions'!$D$85:$D$133,'Q4 Assumptions'!$A$68,'Q4 Assumptions'!$B$85:$B$133,"&gt;="&amp;P$10,'Q4 Assumptions'!$B$85:$B$133,"&lt;="&amp;P$11)</f>
        <v/>
      </c>
      <c r="Q54" s="103">
        <f>'Q4 Assumptions'!$G$68*Q$12+SUMIFS('Q4 Assumptions'!$C$85:$C$133,'Q4 Assumptions'!$D$85:$D$133,'Q4 Assumptions'!$A$68,'Q4 Assumptions'!$B$85:$B$133,"&gt;="&amp;Q$10,'Q4 Assumptions'!$B$85:$B$133,"&lt;="&amp;Q$11)</f>
        <v/>
      </c>
      <c r="R54" s="104">
        <f>SUM(D54:Q54)</f>
        <v/>
      </c>
    </row>
    <row r="55">
      <c r="A55" s="101" t="n"/>
      <c r="B55" s="100" t="inlineStr">
        <is>
          <t>Purchase of investment</t>
        </is>
      </c>
      <c r="C55" s="102">
        <f>'Q4 Assumptions'!C69</f>
        <v/>
      </c>
      <c r="D55" s="103">
        <f>'Q4 Assumptions'!$G$69*D$12+SUMIFS('Q4 Assumptions'!$C$85:$C$133,'Q4 Assumptions'!$D$85:$D$133,'Q4 Assumptions'!$A$69,'Q4 Assumptions'!$B$85:$B$133,"&gt;="&amp;D$10,'Q4 Assumptions'!$B$85:$B$133,"&lt;="&amp;D$11)</f>
        <v/>
      </c>
      <c r="E55" s="103">
        <f>'Q4 Assumptions'!$G$69*E$12+SUMIFS('Q4 Assumptions'!$C$85:$C$133,'Q4 Assumptions'!$D$85:$D$133,'Q4 Assumptions'!$A$69,'Q4 Assumptions'!$B$85:$B$133,"&gt;="&amp;E$10,'Q4 Assumptions'!$B$85:$B$133,"&lt;="&amp;E$11)</f>
        <v/>
      </c>
      <c r="F55" s="103">
        <f>'Q4 Assumptions'!$G$69*F$12+SUMIFS('Q4 Assumptions'!$C$85:$C$133,'Q4 Assumptions'!$D$85:$D$133,'Q4 Assumptions'!$A$69,'Q4 Assumptions'!$B$85:$B$133,"&gt;="&amp;F$10,'Q4 Assumptions'!$B$85:$B$133,"&lt;="&amp;F$11)</f>
        <v/>
      </c>
      <c r="G55" s="103">
        <f>'Q4 Assumptions'!$G$69*G$12+SUMIFS('Q4 Assumptions'!$C$85:$C$133,'Q4 Assumptions'!$D$85:$D$133,'Q4 Assumptions'!$A$69,'Q4 Assumptions'!$B$85:$B$133,"&gt;="&amp;G$10,'Q4 Assumptions'!$B$85:$B$133,"&lt;="&amp;G$11)</f>
        <v/>
      </c>
      <c r="H55" s="103">
        <f>'Q4 Assumptions'!$G$69*H$12+SUMIFS('Q4 Assumptions'!$C$85:$C$133,'Q4 Assumptions'!$D$85:$D$133,'Q4 Assumptions'!$A$69,'Q4 Assumptions'!$B$85:$B$133,"&gt;="&amp;H$10,'Q4 Assumptions'!$B$85:$B$133,"&lt;="&amp;H$11)</f>
        <v/>
      </c>
      <c r="I55" s="103">
        <f>'Q4 Assumptions'!$G$69*I$12+SUMIFS('Q4 Assumptions'!$C$85:$C$133,'Q4 Assumptions'!$D$85:$D$133,'Q4 Assumptions'!$A$69,'Q4 Assumptions'!$B$85:$B$133,"&gt;="&amp;I$10,'Q4 Assumptions'!$B$85:$B$133,"&lt;="&amp;I$11)</f>
        <v/>
      </c>
      <c r="J55" s="103">
        <f>'Q4 Assumptions'!$G$69*J$12+SUMIFS('Q4 Assumptions'!$C$85:$C$133,'Q4 Assumptions'!$D$85:$D$133,'Q4 Assumptions'!$A$69,'Q4 Assumptions'!$B$85:$B$133,"&gt;="&amp;J$10,'Q4 Assumptions'!$B$85:$B$133,"&lt;="&amp;J$11)</f>
        <v/>
      </c>
      <c r="K55" s="103">
        <f>'Q4 Assumptions'!$G$69*K$12+SUMIFS('Q4 Assumptions'!$C$85:$C$133,'Q4 Assumptions'!$D$85:$D$133,'Q4 Assumptions'!$A$69,'Q4 Assumptions'!$B$85:$B$133,"&gt;="&amp;K$10,'Q4 Assumptions'!$B$85:$B$133,"&lt;="&amp;K$11)</f>
        <v/>
      </c>
      <c r="L55" s="103">
        <f>'Q4 Assumptions'!$G$69*L$12+SUMIFS('Q4 Assumptions'!$C$85:$C$133,'Q4 Assumptions'!$D$85:$D$133,'Q4 Assumptions'!$A$69,'Q4 Assumptions'!$B$85:$B$133,"&gt;="&amp;L$10,'Q4 Assumptions'!$B$85:$B$133,"&lt;="&amp;L$11)</f>
        <v/>
      </c>
      <c r="M55" s="103">
        <f>'Q4 Assumptions'!$G$69*M$12+SUMIFS('Q4 Assumptions'!$C$85:$C$133,'Q4 Assumptions'!$D$85:$D$133,'Q4 Assumptions'!$A$69,'Q4 Assumptions'!$B$85:$B$133,"&gt;="&amp;M$10,'Q4 Assumptions'!$B$85:$B$133,"&lt;="&amp;M$11)</f>
        <v/>
      </c>
      <c r="N55" s="103">
        <f>'Q4 Assumptions'!$G$69*N$12+SUMIFS('Q4 Assumptions'!$C$85:$C$133,'Q4 Assumptions'!$D$85:$D$133,'Q4 Assumptions'!$A$69,'Q4 Assumptions'!$B$85:$B$133,"&gt;="&amp;N$10,'Q4 Assumptions'!$B$85:$B$133,"&lt;="&amp;N$11)</f>
        <v/>
      </c>
      <c r="O55" s="103">
        <f>'Q4 Assumptions'!$G$69*O$12+SUMIFS('Q4 Assumptions'!$C$85:$C$133,'Q4 Assumptions'!$D$85:$D$133,'Q4 Assumptions'!$A$69,'Q4 Assumptions'!$B$85:$B$133,"&gt;="&amp;O$10,'Q4 Assumptions'!$B$85:$B$133,"&lt;="&amp;O$11)</f>
        <v/>
      </c>
      <c r="P55" s="103">
        <f>'Q4 Assumptions'!$G$69*P$12+SUMIFS('Q4 Assumptions'!$C$85:$C$133,'Q4 Assumptions'!$D$85:$D$133,'Q4 Assumptions'!$A$69,'Q4 Assumptions'!$B$85:$B$133,"&gt;="&amp;P$10,'Q4 Assumptions'!$B$85:$B$133,"&lt;="&amp;P$11)</f>
        <v/>
      </c>
      <c r="Q55" s="103">
        <f>'Q4 Assumptions'!$G$69*Q$12+SUMIFS('Q4 Assumptions'!$C$85:$C$133,'Q4 Assumptions'!$D$85:$D$133,'Q4 Assumptions'!$A$69,'Q4 Assumptions'!$B$85:$B$133,"&gt;="&amp;Q$10,'Q4 Assumptions'!$B$85:$B$133,"&lt;="&amp;Q$11)</f>
        <v/>
      </c>
      <c r="R55" s="104">
        <f>SUM(D55:Q55)</f>
        <v/>
      </c>
    </row>
    <row r="56">
      <c r="A56" s="105" t="inlineStr">
        <is>
          <t>Net Cash Flow from Investing Activities</t>
        </is>
      </c>
      <c r="B56" s="106" t="n"/>
      <c r="C56" s="107">
        <f>C46+C47+C48+C49+C50+C52+C53+C54+C55</f>
        <v/>
      </c>
      <c r="D56" s="107">
        <f>D46+D47+D48+D49+D50+D52+D53+D54+D55</f>
        <v/>
      </c>
      <c r="E56" s="107">
        <f>E46+E47+E48+E49+E50+E52+E53+E54+E55</f>
        <v/>
      </c>
      <c r="F56" s="107">
        <f>F46+F47+F48+F49+F50+F52+F53+F54+F55</f>
        <v/>
      </c>
      <c r="G56" s="107">
        <f>G46+G47+G48+G49+G50+G52+G53+G54+G55</f>
        <v/>
      </c>
      <c r="H56" s="107">
        <f>H46+H47+H48+H49+H50+H52+H53+H54+H55</f>
        <v/>
      </c>
      <c r="I56" s="107">
        <f>I46+I47+I48+I49+I50+I52+I53+I54+I55</f>
        <v/>
      </c>
      <c r="J56" s="107">
        <f>J46+J47+J48+J49+J50+J52+J53+J54+J55</f>
        <v/>
      </c>
      <c r="K56" s="107">
        <f>K46+K47+K48+K49+K50+K52+K53+K54+K55</f>
        <v/>
      </c>
      <c r="L56" s="107">
        <f>L46+L47+L48+L49+L50+L52+L53+L54+L55</f>
        <v/>
      </c>
      <c r="M56" s="107">
        <f>M46+M47+M48+M49+M50+M52+M53+M54+M55</f>
        <v/>
      </c>
      <c r="N56" s="107">
        <f>N46+N47+N48+N49+N50+N52+N53+N54+N55</f>
        <v/>
      </c>
      <c r="O56" s="107">
        <f>O46+O47+O48+O49+O50+O52+O53+O54+O55</f>
        <v/>
      </c>
      <c r="P56" s="107">
        <f>P46+P47+P48+P49+P50+P52+P53+P54+P55</f>
        <v/>
      </c>
      <c r="Q56" s="107">
        <f>Q46+Q47+Q48+Q49+Q50+Q52+Q53+Q54+Q55</f>
        <v/>
      </c>
      <c r="R56" s="107">
        <f>R46+R47+R48+R49+R50+R52+R53+R54+R55</f>
        <v/>
      </c>
    </row>
    <row r="58">
      <c r="A58" s="53" t="inlineStr">
        <is>
          <t>Financing Activities</t>
        </is>
      </c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</row>
    <row r="59">
      <c r="A59" s="100" t="inlineStr">
        <is>
          <t>Cash receipts from</t>
        </is>
      </c>
      <c r="B59" s="101" t="n"/>
      <c r="C59" s="101" t="n"/>
      <c r="D59" s="101" t="n"/>
      <c r="E59" s="101" t="n"/>
      <c r="F59" s="101" t="n"/>
      <c r="G59" s="101" t="n"/>
      <c r="H59" s="101" t="n"/>
      <c r="I59" s="101" t="n"/>
      <c r="J59" s="101" t="n"/>
      <c r="K59" s="101" t="n"/>
      <c r="L59" s="101" t="n"/>
      <c r="M59" s="101" t="n"/>
      <c r="N59" s="101" t="n"/>
      <c r="O59" s="101" t="n"/>
      <c r="P59" s="101" t="n"/>
      <c r="Q59" s="101" t="n"/>
      <c r="R59" s="101" t="n"/>
    </row>
    <row r="60">
      <c r="A60" s="101" t="n"/>
      <c r="B60" s="100" t="inlineStr">
        <is>
          <t>Issuance of stock</t>
        </is>
      </c>
      <c r="C60" s="102">
        <f>'Q4 Assumptions'!C70</f>
        <v/>
      </c>
      <c r="D60" s="103">
        <f>'Q4 Assumptions'!$G$70*D$12+SUMIFS('Q4 Assumptions'!$C$85:$C$133,'Q4 Assumptions'!$D$85:$D$133,'Q4 Assumptions'!$A$70,'Q4 Assumptions'!$B$85:$B$133,"&gt;="&amp;D$10,'Q4 Assumptions'!$B$85:$B$133,"&lt;="&amp;D$11)</f>
        <v/>
      </c>
      <c r="E60" s="103">
        <f>'Q4 Assumptions'!$G$70*E$12+SUMIFS('Q4 Assumptions'!$C$85:$C$133,'Q4 Assumptions'!$D$85:$D$133,'Q4 Assumptions'!$A$70,'Q4 Assumptions'!$B$85:$B$133,"&gt;="&amp;E$10,'Q4 Assumptions'!$B$85:$B$133,"&lt;="&amp;E$11)</f>
        <v/>
      </c>
      <c r="F60" s="103">
        <f>'Q4 Assumptions'!$G$70*F$12+SUMIFS('Q4 Assumptions'!$C$85:$C$133,'Q4 Assumptions'!$D$85:$D$133,'Q4 Assumptions'!$A$70,'Q4 Assumptions'!$B$85:$B$133,"&gt;="&amp;F$10,'Q4 Assumptions'!$B$85:$B$133,"&lt;="&amp;F$11)</f>
        <v/>
      </c>
      <c r="G60" s="103">
        <f>'Q4 Assumptions'!$G$70*G$12+SUMIFS('Q4 Assumptions'!$C$85:$C$133,'Q4 Assumptions'!$D$85:$D$133,'Q4 Assumptions'!$A$70,'Q4 Assumptions'!$B$85:$B$133,"&gt;="&amp;G$10,'Q4 Assumptions'!$B$85:$B$133,"&lt;="&amp;G$11)</f>
        <v/>
      </c>
      <c r="H60" s="103">
        <f>'Q4 Assumptions'!$G$70*H$12+SUMIFS('Q4 Assumptions'!$C$85:$C$133,'Q4 Assumptions'!$D$85:$D$133,'Q4 Assumptions'!$A$70,'Q4 Assumptions'!$B$85:$B$133,"&gt;="&amp;H$10,'Q4 Assumptions'!$B$85:$B$133,"&lt;="&amp;H$11)</f>
        <v/>
      </c>
      <c r="I60" s="103">
        <f>'Q4 Assumptions'!$G$70*I$12+SUMIFS('Q4 Assumptions'!$C$85:$C$133,'Q4 Assumptions'!$D$85:$D$133,'Q4 Assumptions'!$A$70,'Q4 Assumptions'!$B$85:$B$133,"&gt;="&amp;I$10,'Q4 Assumptions'!$B$85:$B$133,"&lt;="&amp;I$11)</f>
        <v/>
      </c>
      <c r="J60" s="103">
        <f>'Q4 Assumptions'!$G$70*J$12+SUMIFS('Q4 Assumptions'!$C$85:$C$133,'Q4 Assumptions'!$D$85:$D$133,'Q4 Assumptions'!$A$70,'Q4 Assumptions'!$B$85:$B$133,"&gt;="&amp;J$10,'Q4 Assumptions'!$B$85:$B$133,"&lt;="&amp;J$11)</f>
        <v/>
      </c>
      <c r="K60" s="103">
        <f>'Q4 Assumptions'!$G$70*K$12+SUMIFS('Q4 Assumptions'!$C$85:$C$133,'Q4 Assumptions'!$D$85:$D$133,'Q4 Assumptions'!$A$70,'Q4 Assumptions'!$B$85:$B$133,"&gt;="&amp;K$10,'Q4 Assumptions'!$B$85:$B$133,"&lt;="&amp;K$11)</f>
        <v/>
      </c>
      <c r="L60" s="103">
        <f>'Q4 Assumptions'!$G$70*L$12+SUMIFS('Q4 Assumptions'!$C$85:$C$133,'Q4 Assumptions'!$D$85:$D$133,'Q4 Assumptions'!$A$70,'Q4 Assumptions'!$B$85:$B$133,"&gt;="&amp;L$10,'Q4 Assumptions'!$B$85:$B$133,"&lt;="&amp;L$11)</f>
        <v/>
      </c>
      <c r="M60" s="103">
        <f>'Q4 Assumptions'!$G$70*M$12+SUMIFS('Q4 Assumptions'!$C$85:$C$133,'Q4 Assumptions'!$D$85:$D$133,'Q4 Assumptions'!$A$70,'Q4 Assumptions'!$B$85:$B$133,"&gt;="&amp;M$10,'Q4 Assumptions'!$B$85:$B$133,"&lt;="&amp;M$11)</f>
        <v/>
      </c>
      <c r="N60" s="103">
        <f>'Q4 Assumptions'!$G$70*N$12+SUMIFS('Q4 Assumptions'!$C$85:$C$133,'Q4 Assumptions'!$D$85:$D$133,'Q4 Assumptions'!$A$70,'Q4 Assumptions'!$B$85:$B$133,"&gt;="&amp;N$10,'Q4 Assumptions'!$B$85:$B$133,"&lt;="&amp;N$11)</f>
        <v/>
      </c>
      <c r="O60" s="103">
        <f>'Q4 Assumptions'!$G$70*O$12+SUMIFS('Q4 Assumptions'!$C$85:$C$133,'Q4 Assumptions'!$D$85:$D$133,'Q4 Assumptions'!$A$70,'Q4 Assumptions'!$B$85:$B$133,"&gt;="&amp;O$10,'Q4 Assumptions'!$B$85:$B$133,"&lt;="&amp;O$11)</f>
        <v/>
      </c>
      <c r="P60" s="103">
        <f>'Q4 Assumptions'!$G$70*P$12+SUMIFS('Q4 Assumptions'!$C$85:$C$133,'Q4 Assumptions'!$D$85:$D$133,'Q4 Assumptions'!$A$70,'Q4 Assumptions'!$B$85:$B$133,"&gt;="&amp;P$10,'Q4 Assumptions'!$B$85:$B$133,"&lt;="&amp;P$11)</f>
        <v/>
      </c>
      <c r="Q60" s="103">
        <f>'Q4 Assumptions'!$G$70*Q$12+SUMIFS('Q4 Assumptions'!$C$85:$C$133,'Q4 Assumptions'!$D$85:$D$133,'Q4 Assumptions'!$A$70,'Q4 Assumptions'!$B$85:$B$133,"&gt;="&amp;Q$10,'Q4 Assumptions'!$B$85:$B$133,"&lt;="&amp;Q$11)</f>
        <v/>
      </c>
      <c r="R60" s="104">
        <f>SUM(D60:Q60)</f>
        <v/>
      </c>
    </row>
    <row r="61">
      <c r="A61" s="101" t="n"/>
      <c r="B61" s="100" t="inlineStr">
        <is>
          <t>Loan received</t>
        </is>
      </c>
      <c r="C61" s="102">
        <f>'Q4 Assumptions'!C71</f>
        <v/>
      </c>
      <c r="D61" s="103">
        <f>'Q4 Assumptions'!$G$71*D$12+SUMIFS('Q4 Assumptions'!$C$85:$C$133,'Q4 Assumptions'!$D$85:$D$133,'Q4 Assumptions'!$A$71,'Q4 Assumptions'!$B$85:$B$133,"&gt;="&amp;D$10,'Q4 Assumptions'!$B$85:$B$133,"&lt;="&amp;D$11)</f>
        <v/>
      </c>
      <c r="E61" s="103">
        <f>'Q4 Assumptions'!$G$71*E$12+SUMIFS('Q4 Assumptions'!$C$85:$C$133,'Q4 Assumptions'!$D$85:$D$133,'Q4 Assumptions'!$A$71,'Q4 Assumptions'!$B$85:$B$133,"&gt;="&amp;E$10,'Q4 Assumptions'!$B$85:$B$133,"&lt;="&amp;E$11)</f>
        <v/>
      </c>
      <c r="F61" s="103">
        <f>'Q4 Assumptions'!$G$71*F$12+SUMIFS('Q4 Assumptions'!$C$85:$C$133,'Q4 Assumptions'!$D$85:$D$133,'Q4 Assumptions'!$A$71,'Q4 Assumptions'!$B$85:$B$133,"&gt;="&amp;F$10,'Q4 Assumptions'!$B$85:$B$133,"&lt;="&amp;F$11)</f>
        <v/>
      </c>
      <c r="G61" s="103">
        <f>'Q4 Assumptions'!$G$71*G$12+SUMIFS('Q4 Assumptions'!$C$85:$C$133,'Q4 Assumptions'!$D$85:$D$133,'Q4 Assumptions'!$A$71,'Q4 Assumptions'!$B$85:$B$133,"&gt;="&amp;G$10,'Q4 Assumptions'!$B$85:$B$133,"&lt;="&amp;G$11)</f>
        <v/>
      </c>
      <c r="H61" s="103">
        <f>'Q4 Assumptions'!$G$71*H$12+SUMIFS('Q4 Assumptions'!$C$85:$C$133,'Q4 Assumptions'!$D$85:$D$133,'Q4 Assumptions'!$A$71,'Q4 Assumptions'!$B$85:$B$133,"&gt;="&amp;H$10,'Q4 Assumptions'!$B$85:$B$133,"&lt;="&amp;H$11)</f>
        <v/>
      </c>
      <c r="I61" s="103">
        <f>'Q4 Assumptions'!$G$71*I$12+SUMIFS('Q4 Assumptions'!$C$85:$C$133,'Q4 Assumptions'!$D$85:$D$133,'Q4 Assumptions'!$A$71,'Q4 Assumptions'!$B$85:$B$133,"&gt;="&amp;I$10,'Q4 Assumptions'!$B$85:$B$133,"&lt;="&amp;I$11)</f>
        <v/>
      </c>
      <c r="J61" s="103">
        <f>'Q4 Assumptions'!$G$71*J$12+SUMIFS('Q4 Assumptions'!$C$85:$C$133,'Q4 Assumptions'!$D$85:$D$133,'Q4 Assumptions'!$A$71,'Q4 Assumptions'!$B$85:$B$133,"&gt;="&amp;J$10,'Q4 Assumptions'!$B$85:$B$133,"&lt;="&amp;J$11)</f>
        <v/>
      </c>
      <c r="K61" s="103">
        <f>'Q4 Assumptions'!$G$71*K$12+SUMIFS('Q4 Assumptions'!$C$85:$C$133,'Q4 Assumptions'!$D$85:$D$133,'Q4 Assumptions'!$A$71,'Q4 Assumptions'!$B$85:$B$133,"&gt;="&amp;K$10,'Q4 Assumptions'!$B$85:$B$133,"&lt;="&amp;K$11)</f>
        <v/>
      </c>
      <c r="L61" s="103">
        <f>'Q4 Assumptions'!$G$71*L$12+SUMIFS('Q4 Assumptions'!$C$85:$C$133,'Q4 Assumptions'!$D$85:$D$133,'Q4 Assumptions'!$A$71,'Q4 Assumptions'!$B$85:$B$133,"&gt;="&amp;L$10,'Q4 Assumptions'!$B$85:$B$133,"&lt;="&amp;L$11)</f>
        <v/>
      </c>
      <c r="M61" s="103">
        <f>'Q4 Assumptions'!$G$71*M$12+SUMIFS('Q4 Assumptions'!$C$85:$C$133,'Q4 Assumptions'!$D$85:$D$133,'Q4 Assumptions'!$A$71,'Q4 Assumptions'!$B$85:$B$133,"&gt;="&amp;M$10,'Q4 Assumptions'!$B$85:$B$133,"&lt;="&amp;M$11)</f>
        <v/>
      </c>
      <c r="N61" s="103">
        <f>'Q4 Assumptions'!$G$71*N$12+SUMIFS('Q4 Assumptions'!$C$85:$C$133,'Q4 Assumptions'!$D$85:$D$133,'Q4 Assumptions'!$A$71,'Q4 Assumptions'!$B$85:$B$133,"&gt;="&amp;N$10,'Q4 Assumptions'!$B$85:$B$133,"&lt;="&amp;N$11)</f>
        <v/>
      </c>
      <c r="O61" s="103">
        <f>'Q4 Assumptions'!$G$71*O$12+SUMIFS('Q4 Assumptions'!$C$85:$C$133,'Q4 Assumptions'!$D$85:$D$133,'Q4 Assumptions'!$A$71,'Q4 Assumptions'!$B$85:$B$133,"&gt;="&amp;O$10,'Q4 Assumptions'!$B$85:$B$133,"&lt;="&amp;O$11)</f>
        <v/>
      </c>
      <c r="P61" s="103">
        <f>'Q4 Assumptions'!$G$71*P$12+SUMIFS('Q4 Assumptions'!$C$85:$C$133,'Q4 Assumptions'!$D$85:$D$133,'Q4 Assumptions'!$A$71,'Q4 Assumptions'!$B$85:$B$133,"&gt;="&amp;P$10,'Q4 Assumptions'!$B$85:$B$133,"&lt;="&amp;P$11)</f>
        <v/>
      </c>
      <c r="Q61" s="103">
        <f>'Q4 Assumptions'!$G$71*Q$12+SUMIFS('Q4 Assumptions'!$C$85:$C$133,'Q4 Assumptions'!$D$85:$D$133,'Q4 Assumptions'!$A$71,'Q4 Assumptions'!$B$85:$B$133,"&gt;="&amp;Q$10,'Q4 Assumptions'!$B$85:$B$133,"&lt;="&amp;Q$11)</f>
        <v/>
      </c>
      <c r="R61" s="104">
        <f>SUM(D61:Q61)</f>
        <v/>
      </c>
    </row>
    <row r="62">
      <c r="A62" s="101" t="n"/>
      <c r="B62" s="100" t="inlineStr">
        <is>
          <t>Borrowing</t>
        </is>
      </c>
      <c r="C62" s="102">
        <f>'Q4 Assumptions'!C72</f>
        <v/>
      </c>
      <c r="D62" s="103">
        <f>'Q4 Assumptions'!$G$72*D$12+SUMIFS('Q4 Assumptions'!$C$85:$C$133,'Q4 Assumptions'!$D$85:$D$133,'Q4 Assumptions'!$A$72,'Q4 Assumptions'!$B$85:$B$133,"&gt;="&amp;D$10,'Q4 Assumptions'!$B$85:$B$133,"&lt;="&amp;D$11)</f>
        <v/>
      </c>
      <c r="E62" s="103">
        <f>'Q4 Assumptions'!$G$72*E$12+SUMIFS('Q4 Assumptions'!$C$85:$C$133,'Q4 Assumptions'!$D$85:$D$133,'Q4 Assumptions'!$A$72,'Q4 Assumptions'!$B$85:$B$133,"&gt;="&amp;E$10,'Q4 Assumptions'!$B$85:$B$133,"&lt;="&amp;E$11)</f>
        <v/>
      </c>
      <c r="F62" s="103">
        <f>'Q4 Assumptions'!$G$72*F$12+SUMIFS('Q4 Assumptions'!$C$85:$C$133,'Q4 Assumptions'!$D$85:$D$133,'Q4 Assumptions'!$A$72,'Q4 Assumptions'!$B$85:$B$133,"&gt;="&amp;F$10,'Q4 Assumptions'!$B$85:$B$133,"&lt;="&amp;F$11)</f>
        <v/>
      </c>
      <c r="G62" s="103">
        <f>'Q4 Assumptions'!$G$72*G$12+SUMIFS('Q4 Assumptions'!$C$85:$C$133,'Q4 Assumptions'!$D$85:$D$133,'Q4 Assumptions'!$A$72,'Q4 Assumptions'!$B$85:$B$133,"&gt;="&amp;G$10,'Q4 Assumptions'!$B$85:$B$133,"&lt;="&amp;G$11)</f>
        <v/>
      </c>
      <c r="H62" s="103">
        <f>'Q4 Assumptions'!$G$72*H$12+SUMIFS('Q4 Assumptions'!$C$85:$C$133,'Q4 Assumptions'!$D$85:$D$133,'Q4 Assumptions'!$A$72,'Q4 Assumptions'!$B$85:$B$133,"&gt;="&amp;H$10,'Q4 Assumptions'!$B$85:$B$133,"&lt;="&amp;H$11)</f>
        <v/>
      </c>
      <c r="I62" s="103">
        <f>'Q4 Assumptions'!$G$72*I$12+SUMIFS('Q4 Assumptions'!$C$85:$C$133,'Q4 Assumptions'!$D$85:$D$133,'Q4 Assumptions'!$A$72,'Q4 Assumptions'!$B$85:$B$133,"&gt;="&amp;I$10,'Q4 Assumptions'!$B$85:$B$133,"&lt;="&amp;I$11)</f>
        <v/>
      </c>
      <c r="J62" s="103">
        <f>'Q4 Assumptions'!$G$72*J$12+SUMIFS('Q4 Assumptions'!$C$85:$C$133,'Q4 Assumptions'!$D$85:$D$133,'Q4 Assumptions'!$A$72,'Q4 Assumptions'!$B$85:$B$133,"&gt;="&amp;J$10,'Q4 Assumptions'!$B$85:$B$133,"&lt;="&amp;J$11)</f>
        <v/>
      </c>
      <c r="K62" s="103">
        <f>'Q4 Assumptions'!$G$72*K$12+SUMIFS('Q4 Assumptions'!$C$85:$C$133,'Q4 Assumptions'!$D$85:$D$133,'Q4 Assumptions'!$A$72,'Q4 Assumptions'!$B$85:$B$133,"&gt;="&amp;K$10,'Q4 Assumptions'!$B$85:$B$133,"&lt;="&amp;K$11)</f>
        <v/>
      </c>
      <c r="L62" s="103">
        <f>'Q4 Assumptions'!$G$72*L$12+SUMIFS('Q4 Assumptions'!$C$85:$C$133,'Q4 Assumptions'!$D$85:$D$133,'Q4 Assumptions'!$A$72,'Q4 Assumptions'!$B$85:$B$133,"&gt;="&amp;L$10,'Q4 Assumptions'!$B$85:$B$133,"&lt;="&amp;L$11)</f>
        <v/>
      </c>
      <c r="M62" s="103">
        <f>'Q4 Assumptions'!$G$72*M$12+SUMIFS('Q4 Assumptions'!$C$85:$C$133,'Q4 Assumptions'!$D$85:$D$133,'Q4 Assumptions'!$A$72,'Q4 Assumptions'!$B$85:$B$133,"&gt;="&amp;M$10,'Q4 Assumptions'!$B$85:$B$133,"&lt;="&amp;M$11)</f>
        <v/>
      </c>
      <c r="N62" s="103">
        <f>'Q4 Assumptions'!$G$72*N$12+SUMIFS('Q4 Assumptions'!$C$85:$C$133,'Q4 Assumptions'!$D$85:$D$133,'Q4 Assumptions'!$A$72,'Q4 Assumptions'!$B$85:$B$133,"&gt;="&amp;N$10,'Q4 Assumptions'!$B$85:$B$133,"&lt;="&amp;N$11)</f>
        <v/>
      </c>
      <c r="O62" s="103">
        <f>'Q4 Assumptions'!$G$72*O$12+SUMIFS('Q4 Assumptions'!$C$85:$C$133,'Q4 Assumptions'!$D$85:$D$133,'Q4 Assumptions'!$A$72,'Q4 Assumptions'!$B$85:$B$133,"&gt;="&amp;O$10,'Q4 Assumptions'!$B$85:$B$133,"&lt;="&amp;O$11)</f>
        <v/>
      </c>
      <c r="P62" s="103">
        <f>'Q4 Assumptions'!$G$72*P$12+SUMIFS('Q4 Assumptions'!$C$85:$C$133,'Q4 Assumptions'!$D$85:$D$133,'Q4 Assumptions'!$A$72,'Q4 Assumptions'!$B$85:$B$133,"&gt;="&amp;P$10,'Q4 Assumptions'!$B$85:$B$133,"&lt;="&amp;P$11)</f>
        <v/>
      </c>
      <c r="Q62" s="103">
        <f>'Q4 Assumptions'!$G$72*Q$12+SUMIFS('Q4 Assumptions'!$C$85:$C$133,'Q4 Assumptions'!$D$85:$D$133,'Q4 Assumptions'!$A$72,'Q4 Assumptions'!$B$85:$B$133,"&gt;="&amp;Q$10,'Q4 Assumptions'!$B$85:$B$133,"&lt;="&amp;Q$11)</f>
        <v/>
      </c>
      <c r="R62" s="104">
        <f>SUM(D62:Q62)</f>
        <v/>
      </c>
    </row>
    <row r="63">
      <c r="A63" s="101" t="n"/>
      <c r="B63" s="100" t="inlineStr">
        <is>
          <t>Repayment from related parties</t>
        </is>
      </c>
      <c r="C63" s="102">
        <f>'Q4 Assumptions'!C73</f>
        <v/>
      </c>
      <c r="D63" s="103">
        <f>'Q4 Assumptions'!$G$73*D$12+SUMIFS('Q4 Assumptions'!$C$85:$C$133,'Q4 Assumptions'!$D$85:$D$133,'Q4 Assumptions'!$A$73,'Q4 Assumptions'!$B$85:$B$133,"&gt;="&amp;D$10,'Q4 Assumptions'!$B$85:$B$133,"&lt;="&amp;D$11)</f>
        <v/>
      </c>
      <c r="E63" s="103">
        <f>'Q4 Assumptions'!$G$73*E$12+SUMIFS('Q4 Assumptions'!$C$85:$C$133,'Q4 Assumptions'!$D$85:$D$133,'Q4 Assumptions'!$A$73,'Q4 Assumptions'!$B$85:$B$133,"&gt;="&amp;E$10,'Q4 Assumptions'!$B$85:$B$133,"&lt;="&amp;E$11)</f>
        <v/>
      </c>
      <c r="F63" s="103">
        <f>'Q4 Assumptions'!$G$73*F$12+SUMIFS('Q4 Assumptions'!$C$85:$C$133,'Q4 Assumptions'!$D$85:$D$133,'Q4 Assumptions'!$A$73,'Q4 Assumptions'!$B$85:$B$133,"&gt;="&amp;F$10,'Q4 Assumptions'!$B$85:$B$133,"&lt;="&amp;F$11)</f>
        <v/>
      </c>
      <c r="G63" s="103">
        <f>'Q4 Assumptions'!$G$73*G$12+SUMIFS('Q4 Assumptions'!$C$85:$C$133,'Q4 Assumptions'!$D$85:$D$133,'Q4 Assumptions'!$A$73,'Q4 Assumptions'!$B$85:$B$133,"&gt;="&amp;G$10,'Q4 Assumptions'!$B$85:$B$133,"&lt;="&amp;G$11)</f>
        <v/>
      </c>
      <c r="H63" s="103">
        <f>'Q4 Assumptions'!$G$73*H$12+SUMIFS('Q4 Assumptions'!$C$85:$C$133,'Q4 Assumptions'!$D$85:$D$133,'Q4 Assumptions'!$A$73,'Q4 Assumptions'!$B$85:$B$133,"&gt;="&amp;H$10,'Q4 Assumptions'!$B$85:$B$133,"&lt;="&amp;H$11)</f>
        <v/>
      </c>
      <c r="I63" s="103">
        <f>'Q4 Assumptions'!$G$73*I$12+SUMIFS('Q4 Assumptions'!$C$85:$C$133,'Q4 Assumptions'!$D$85:$D$133,'Q4 Assumptions'!$A$73,'Q4 Assumptions'!$B$85:$B$133,"&gt;="&amp;I$10,'Q4 Assumptions'!$B$85:$B$133,"&lt;="&amp;I$11)</f>
        <v/>
      </c>
      <c r="J63" s="103">
        <f>'Q4 Assumptions'!$G$73*J$12+SUMIFS('Q4 Assumptions'!$C$85:$C$133,'Q4 Assumptions'!$D$85:$D$133,'Q4 Assumptions'!$A$73,'Q4 Assumptions'!$B$85:$B$133,"&gt;="&amp;J$10,'Q4 Assumptions'!$B$85:$B$133,"&lt;="&amp;J$11)</f>
        <v/>
      </c>
      <c r="K63" s="103">
        <f>'Q4 Assumptions'!$G$73*K$12+SUMIFS('Q4 Assumptions'!$C$85:$C$133,'Q4 Assumptions'!$D$85:$D$133,'Q4 Assumptions'!$A$73,'Q4 Assumptions'!$B$85:$B$133,"&gt;="&amp;K$10,'Q4 Assumptions'!$B$85:$B$133,"&lt;="&amp;K$11)</f>
        <v/>
      </c>
      <c r="L63" s="103">
        <f>'Q4 Assumptions'!$G$73*L$12+SUMIFS('Q4 Assumptions'!$C$85:$C$133,'Q4 Assumptions'!$D$85:$D$133,'Q4 Assumptions'!$A$73,'Q4 Assumptions'!$B$85:$B$133,"&gt;="&amp;L$10,'Q4 Assumptions'!$B$85:$B$133,"&lt;="&amp;L$11)</f>
        <v/>
      </c>
      <c r="M63" s="103">
        <f>'Q4 Assumptions'!$G$73*M$12+SUMIFS('Q4 Assumptions'!$C$85:$C$133,'Q4 Assumptions'!$D$85:$D$133,'Q4 Assumptions'!$A$73,'Q4 Assumptions'!$B$85:$B$133,"&gt;="&amp;M$10,'Q4 Assumptions'!$B$85:$B$133,"&lt;="&amp;M$11)</f>
        <v/>
      </c>
      <c r="N63" s="103">
        <f>'Q4 Assumptions'!$G$73*N$12+SUMIFS('Q4 Assumptions'!$C$85:$C$133,'Q4 Assumptions'!$D$85:$D$133,'Q4 Assumptions'!$A$73,'Q4 Assumptions'!$B$85:$B$133,"&gt;="&amp;N$10,'Q4 Assumptions'!$B$85:$B$133,"&lt;="&amp;N$11)</f>
        <v/>
      </c>
      <c r="O63" s="103">
        <f>'Q4 Assumptions'!$G$73*O$12+SUMIFS('Q4 Assumptions'!$C$85:$C$133,'Q4 Assumptions'!$D$85:$D$133,'Q4 Assumptions'!$A$73,'Q4 Assumptions'!$B$85:$B$133,"&gt;="&amp;O$10,'Q4 Assumptions'!$B$85:$B$133,"&lt;="&amp;O$11)</f>
        <v/>
      </c>
      <c r="P63" s="103">
        <f>'Q4 Assumptions'!$G$73*P$12+SUMIFS('Q4 Assumptions'!$C$85:$C$133,'Q4 Assumptions'!$D$85:$D$133,'Q4 Assumptions'!$A$73,'Q4 Assumptions'!$B$85:$B$133,"&gt;="&amp;P$10,'Q4 Assumptions'!$B$85:$B$133,"&lt;="&amp;P$11)</f>
        <v/>
      </c>
      <c r="Q63" s="103">
        <f>'Q4 Assumptions'!$G$73*Q$12+SUMIFS('Q4 Assumptions'!$C$85:$C$133,'Q4 Assumptions'!$D$85:$D$133,'Q4 Assumptions'!$A$73,'Q4 Assumptions'!$B$85:$B$133,"&gt;="&amp;Q$10,'Q4 Assumptions'!$B$85:$B$133,"&lt;="&amp;Q$11)</f>
        <v/>
      </c>
      <c r="R63" s="104">
        <f>SUM(D63:Q63)</f>
        <v/>
      </c>
    </row>
    <row r="64">
      <c r="A64" s="100" t="inlineStr">
        <is>
          <t>Cash paid for</t>
        </is>
      </c>
      <c r="B64" s="101" t="n"/>
      <c r="C64" s="101" t="n"/>
      <c r="D64" s="101" t="n"/>
      <c r="E64" s="101" t="n"/>
      <c r="F64" s="101" t="n"/>
      <c r="G64" s="101" t="n"/>
      <c r="H64" s="101" t="n"/>
      <c r="I64" s="101" t="n"/>
      <c r="J64" s="101" t="n"/>
      <c r="K64" s="101" t="n"/>
      <c r="L64" s="101" t="n"/>
      <c r="M64" s="101" t="n"/>
      <c r="N64" s="101" t="n"/>
      <c r="O64" s="101" t="n"/>
      <c r="P64" s="101" t="n"/>
      <c r="Q64" s="101" t="n"/>
      <c r="R64" s="101" t="n"/>
    </row>
    <row r="65">
      <c r="A65" s="101" t="n"/>
      <c r="B65" s="100" t="inlineStr">
        <is>
          <t>Repurchase of stock (treasury stock)</t>
        </is>
      </c>
      <c r="C65" s="102">
        <f>'Q4 Assumptions'!C74</f>
        <v/>
      </c>
      <c r="D65" s="103">
        <f>'Q4 Assumptions'!$G$74*D$12+SUMIFS('Q4 Assumptions'!$C$85:$C$133,'Q4 Assumptions'!$D$85:$D$133,'Q4 Assumptions'!$A$74,'Q4 Assumptions'!$B$85:$B$133,"&gt;="&amp;D$10,'Q4 Assumptions'!$B$85:$B$133,"&lt;="&amp;D$11)</f>
        <v/>
      </c>
      <c r="E65" s="103">
        <f>'Q4 Assumptions'!$G$74*E$12+SUMIFS('Q4 Assumptions'!$C$85:$C$133,'Q4 Assumptions'!$D$85:$D$133,'Q4 Assumptions'!$A$74,'Q4 Assumptions'!$B$85:$B$133,"&gt;="&amp;E$10,'Q4 Assumptions'!$B$85:$B$133,"&lt;="&amp;E$11)</f>
        <v/>
      </c>
      <c r="F65" s="103">
        <f>'Q4 Assumptions'!$G$74*F$12+SUMIFS('Q4 Assumptions'!$C$85:$C$133,'Q4 Assumptions'!$D$85:$D$133,'Q4 Assumptions'!$A$74,'Q4 Assumptions'!$B$85:$B$133,"&gt;="&amp;F$10,'Q4 Assumptions'!$B$85:$B$133,"&lt;="&amp;F$11)</f>
        <v/>
      </c>
      <c r="G65" s="103">
        <f>'Q4 Assumptions'!$G$74*G$12+SUMIFS('Q4 Assumptions'!$C$85:$C$133,'Q4 Assumptions'!$D$85:$D$133,'Q4 Assumptions'!$A$74,'Q4 Assumptions'!$B$85:$B$133,"&gt;="&amp;G$10,'Q4 Assumptions'!$B$85:$B$133,"&lt;="&amp;G$11)</f>
        <v/>
      </c>
      <c r="H65" s="103">
        <f>'Q4 Assumptions'!$G$74*H$12+SUMIFS('Q4 Assumptions'!$C$85:$C$133,'Q4 Assumptions'!$D$85:$D$133,'Q4 Assumptions'!$A$74,'Q4 Assumptions'!$B$85:$B$133,"&gt;="&amp;H$10,'Q4 Assumptions'!$B$85:$B$133,"&lt;="&amp;H$11)</f>
        <v/>
      </c>
      <c r="I65" s="103">
        <f>'Q4 Assumptions'!$G$74*I$12+SUMIFS('Q4 Assumptions'!$C$85:$C$133,'Q4 Assumptions'!$D$85:$D$133,'Q4 Assumptions'!$A$74,'Q4 Assumptions'!$B$85:$B$133,"&gt;="&amp;I$10,'Q4 Assumptions'!$B$85:$B$133,"&lt;="&amp;I$11)</f>
        <v/>
      </c>
      <c r="J65" s="103">
        <f>'Q4 Assumptions'!$G$74*J$12+SUMIFS('Q4 Assumptions'!$C$85:$C$133,'Q4 Assumptions'!$D$85:$D$133,'Q4 Assumptions'!$A$74,'Q4 Assumptions'!$B$85:$B$133,"&gt;="&amp;J$10,'Q4 Assumptions'!$B$85:$B$133,"&lt;="&amp;J$11)</f>
        <v/>
      </c>
      <c r="K65" s="103">
        <f>'Q4 Assumptions'!$G$74*K$12+SUMIFS('Q4 Assumptions'!$C$85:$C$133,'Q4 Assumptions'!$D$85:$D$133,'Q4 Assumptions'!$A$74,'Q4 Assumptions'!$B$85:$B$133,"&gt;="&amp;K$10,'Q4 Assumptions'!$B$85:$B$133,"&lt;="&amp;K$11)</f>
        <v/>
      </c>
      <c r="L65" s="103">
        <f>'Q4 Assumptions'!$G$74*L$12+SUMIFS('Q4 Assumptions'!$C$85:$C$133,'Q4 Assumptions'!$D$85:$D$133,'Q4 Assumptions'!$A$74,'Q4 Assumptions'!$B$85:$B$133,"&gt;="&amp;L$10,'Q4 Assumptions'!$B$85:$B$133,"&lt;="&amp;L$11)</f>
        <v/>
      </c>
      <c r="M65" s="103">
        <f>'Q4 Assumptions'!$G$74*M$12+SUMIFS('Q4 Assumptions'!$C$85:$C$133,'Q4 Assumptions'!$D$85:$D$133,'Q4 Assumptions'!$A$74,'Q4 Assumptions'!$B$85:$B$133,"&gt;="&amp;M$10,'Q4 Assumptions'!$B$85:$B$133,"&lt;="&amp;M$11)</f>
        <v/>
      </c>
      <c r="N65" s="103">
        <f>'Q4 Assumptions'!$G$74*N$12+SUMIFS('Q4 Assumptions'!$C$85:$C$133,'Q4 Assumptions'!$D$85:$D$133,'Q4 Assumptions'!$A$74,'Q4 Assumptions'!$B$85:$B$133,"&gt;="&amp;N$10,'Q4 Assumptions'!$B$85:$B$133,"&lt;="&amp;N$11)</f>
        <v/>
      </c>
      <c r="O65" s="103">
        <f>'Q4 Assumptions'!$G$74*O$12+SUMIFS('Q4 Assumptions'!$C$85:$C$133,'Q4 Assumptions'!$D$85:$D$133,'Q4 Assumptions'!$A$74,'Q4 Assumptions'!$B$85:$B$133,"&gt;="&amp;O$10,'Q4 Assumptions'!$B$85:$B$133,"&lt;="&amp;O$11)</f>
        <v/>
      </c>
      <c r="P65" s="103">
        <f>'Q4 Assumptions'!$G$74*P$12+SUMIFS('Q4 Assumptions'!$C$85:$C$133,'Q4 Assumptions'!$D$85:$D$133,'Q4 Assumptions'!$A$74,'Q4 Assumptions'!$B$85:$B$133,"&gt;="&amp;P$10,'Q4 Assumptions'!$B$85:$B$133,"&lt;="&amp;P$11)</f>
        <v/>
      </c>
      <c r="Q65" s="103">
        <f>'Q4 Assumptions'!$G$74*Q$12+SUMIFS('Q4 Assumptions'!$C$85:$C$133,'Q4 Assumptions'!$D$85:$D$133,'Q4 Assumptions'!$A$74,'Q4 Assumptions'!$B$85:$B$133,"&gt;="&amp;Q$10,'Q4 Assumptions'!$B$85:$B$133,"&lt;="&amp;Q$11)</f>
        <v/>
      </c>
      <c r="R65" s="104">
        <f>SUM(D65:Q65)</f>
        <v/>
      </c>
    </row>
    <row r="66">
      <c r="A66" s="101" t="n"/>
      <c r="B66" s="100" t="inlineStr">
        <is>
          <t>Purchase of investment</t>
        </is>
      </c>
      <c r="C66" s="102">
        <f>'Q4 Assumptions'!C75</f>
        <v/>
      </c>
      <c r="D66" s="103">
        <f>'Q4 Assumptions'!$G$75*D$12+SUMIFS('Q4 Assumptions'!$C$85:$C$133,'Q4 Assumptions'!$D$85:$D$133,'Q4 Assumptions'!$A$75,'Q4 Assumptions'!$B$85:$B$133,"&gt;="&amp;D$10,'Q4 Assumptions'!$B$85:$B$133,"&lt;="&amp;D$11)</f>
        <v/>
      </c>
      <c r="E66" s="103">
        <f>'Q4 Assumptions'!$G$75*E$12+SUMIFS('Q4 Assumptions'!$C$85:$C$133,'Q4 Assumptions'!$D$85:$D$133,'Q4 Assumptions'!$A$75,'Q4 Assumptions'!$B$85:$B$133,"&gt;="&amp;E$10,'Q4 Assumptions'!$B$85:$B$133,"&lt;="&amp;E$11)</f>
        <v/>
      </c>
      <c r="F66" s="103">
        <f>'Q4 Assumptions'!$G$75*F$12+SUMIFS('Q4 Assumptions'!$C$85:$C$133,'Q4 Assumptions'!$D$85:$D$133,'Q4 Assumptions'!$A$75,'Q4 Assumptions'!$B$85:$B$133,"&gt;="&amp;F$10,'Q4 Assumptions'!$B$85:$B$133,"&lt;="&amp;F$11)</f>
        <v/>
      </c>
      <c r="G66" s="103">
        <f>'Q4 Assumptions'!$G$75*G$12+SUMIFS('Q4 Assumptions'!$C$85:$C$133,'Q4 Assumptions'!$D$85:$D$133,'Q4 Assumptions'!$A$75,'Q4 Assumptions'!$B$85:$B$133,"&gt;="&amp;G$10,'Q4 Assumptions'!$B$85:$B$133,"&lt;="&amp;G$11)</f>
        <v/>
      </c>
      <c r="H66" s="103">
        <f>'Q4 Assumptions'!$G$75*H$12+SUMIFS('Q4 Assumptions'!$C$85:$C$133,'Q4 Assumptions'!$D$85:$D$133,'Q4 Assumptions'!$A$75,'Q4 Assumptions'!$B$85:$B$133,"&gt;="&amp;H$10,'Q4 Assumptions'!$B$85:$B$133,"&lt;="&amp;H$11)</f>
        <v/>
      </c>
      <c r="I66" s="103">
        <f>'Q4 Assumptions'!$G$75*I$12+SUMIFS('Q4 Assumptions'!$C$85:$C$133,'Q4 Assumptions'!$D$85:$D$133,'Q4 Assumptions'!$A$75,'Q4 Assumptions'!$B$85:$B$133,"&gt;="&amp;I$10,'Q4 Assumptions'!$B$85:$B$133,"&lt;="&amp;I$11)</f>
        <v/>
      </c>
      <c r="J66" s="103">
        <f>'Q4 Assumptions'!$G$75*J$12+SUMIFS('Q4 Assumptions'!$C$85:$C$133,'Q4 Assumptions'!$D$85:$D$133,'Q4 Assumptions'!$A$75,'Q4 Assumptions'!$B$85:$B$133,"&gt;="&amp;J$10,'Q4 Assumptions'!$B$85:$B$133,"&lt;="&amp;J$11)</f>
        <v/>
      </c>
      <c r="K66" s="103">
        <f>'Q4 Assumptions'!$G$75*K$12+SUMIFS('Q4 Assumptions'!$C$85:$C$133,'Q4 Assumptions'!$D$85:$D$133,'Q4 Assumptions'!$A$75,'Q4 Assumptions'!$B$85:$B$133,"&gt;="&amp;K$10,'Q4 Assumptions'!$B$85:$B$133,"&lt;="&amp;K$11)</f>
        <v/>
      </c>
      <c r="L66" s="103">
        <f>'Q4 Assumptions'!$G$75*L$12+SUMIFS('Q4 Assumptions'!$C$85:$C$133,'Q4 Assumptions'!$D$85:$D$133,'Q4 Assumptions'!$A$75,'Q4 Assumptions'!$B$85:$B$133,"&gt;="&amp;L$10,'Q4 Assumptions'!$B$85:$B$133,"&lt;="&amp;L$11)</f>
        <v/>
      </c>
      <c r="M66" s="103">
        <f>'Q4 Assumptions'!$G$75*M$12+SUMIFS('Q4 Assumptions'!$C$85:$C$133,'Q4 Assumptions'!$D$85:$D$133,'Q4 Assumptions'!$A$75,'Q4 Assumptions'!$B$85:$B$133,"&gt;="&amp;M$10,'Q4 Assumptions'!$B$85:$B$133,"&lt;="&amp;M$11)</f>
        <v/>
      </c>
      <c r="N66" s="103">
        <f>'Q4 Assumptions'!$G$75*N$12+SUMIFS('Q4 Assumptions'!$C$85:$C$133,'Q4 Assumptions'!$D$85:$D$133,'Q4 Assumptions'!$A$75,'Q4 Assumptions'!$B$85:$B$133,"&gt;="&amp;N$10,'Q4 Assumptions'!$B$85:$B$133,"&lt;="&amp;N$11)</f>
        <v/>
      </c>
      <c r="O66" s="103">
        <f>'Q4 Assumptions'!$G$75*O$12+SUMIFS('Q4 Assumptions'!$C$85:$C$133,'Q4 Assumptions'!$D$85:$D$133,'Q4 Assumptions'!$A$75,'Q4 Assumptions'!$B$85:$B$133,"&gt;="&amp;O$10,'Q4 Assumptions'!$B$85:$B$133,"&lt;="&amp;O$11)</f>
        <v/>
      </c>
      <c r="P66" s="103">
        <f>'Q4 Assumptions'!$G$75*P$12+SUMIFS('Q4 Assumptions'!$C$85:$C$133,'Q4 Assumptions'!$D$85:$D$133,'Q4 Assumptions'!$A$75,'Q4 Assumptions'!$B$85:$B$133,"&gt;="&amp;P$10,'Q4 Assumptions'!$B$85:$B$133,"&lt;="&amp;P$11)</f>
        <v/>
      </c>
      <c r="Q66" s="103">
        <f>'Q4 Assumptions'!$G$75*Q$12+SUMIFS('Q4 Assumptions'!$C$85:$C$133,'Q4 Assumptions'!$D$85:$D$133,'Q4 Assumptions'!$A$75,'Q4 Assumptions'!$B$85:$B$133,"&gt;="&amp;Q$10,'Q4 Assumptions'!$B$85:$B$133,"&lt;="&amp;Q$11)</f>
        <v/>
      </c>
      <c r="R66" s="104">
        <f>SUM(D66:Q66)</f>
        <v/>
      </c>
    </row>
    <row r="67">
      <c r="A67" s="101" t="n"/>
      <c r="B67" s="100" t="inlineStr">
        <is>
          <t>Repayment of loans</t>
        </is>
      </c>
      <c r="C67" s="102">
        <f>'Q4 Assumptions'!C76</f>
        <v/>
      </c>
      <c r="D67" s="103">
        <f>'Q4 Assumptions'!$G$76*D$12+SUMIFS('Q4 Assumptions'!$C$85:$C$133,'Q4 Assumptions'!$D$85:$D$133,'Q4 Assumptions'!$A$76,'Q4 Assumptions'!$B$85:$B$133,"&gt;="&amp;D$10,'Q4 Assumptions'!$B$85:$B$133,"&lt;="&amp;D$11)</f>
        <v/>
      </c>
      <c r="E67" s="103">
        <f>'Q4 Assumptions'!$G$76*E$12+SUMIFS('Q4 Assumptions'!$C$85:$C$133,'Q4 Assumptions'!$D$85:$D$133,'Q4 Assumptions'!$A$76,'Q4 Assumptions'!$B$85:$B$133,"&gt;="&amp;E$10,'Q4 Assumptions'!$B$85:$B$133,"&lt;="&amp;E$11)</f>
        <v/>
      </c>
      <c r="F67" s="103">
        <f>'Q4 Assumptions'!$G$76*F$12+SUMIFS('Q4 Assumptions'!$C$85:$C$133,'Q4 Assumptions'!$D$85:$D$133,'Q4 Assumptions'!$A$76,'Q4 Assumptions'!$B$85:$B$133,"&gt;="&amp;F$10,'Q4 Assumptions'!$B$85:$B$133,"&lt;="&amp;F$11)</f>
        <v/>
      </c>
      <c r="G67" s="103">
        <f>'Q4 Assumptions'!$G$76*G$12+SUMIFS('Q4 Assumptions'!$C$85:$C$133,'Q4 Assumptions'!$D$85:$D$133,'Q4 Assumptions'!$A$76,'Q4 Assumptions'!$B$85:$B$133,"&gt;="&amp;G$10,'Q4 Assumptions'!$B$85:$B$133,"&lt;="&amp;G$11)</f>
        <v/>
      </c>
      <c r="H67" s="103">
        <f>'Q4 Assumptions'!$G$76*H$12+SUMIFS('Q4 Assumptions'!$C$85:$C$133,'Q4 Assumptions'!$D$85:$D$133,'Q4 Assumptions'!$A$76,'Q4 Assumptions'!$B$85:$B$133,"&gt;="&amp;H$10,'Q4 Assumptions'!$B$85:$B$133,"&lt;="&amp;H$11)</f>
        <v/>
      </c>
      <c r="I67" s="103">
        <f>'Q4 Assumptions'!$G$76*I$12+SUMIFS('Q4 Assumptions'!$C$85:$C$133,'Q4 Assumptions'!$D$85:$D$133,'Q4 Assumptions'!$A$76,'Q4 Assumptions'!$B$85:$B$133,"&gt;="&amp;I$10,'Q4 Assumptions'!$B$85:$B$133,"&lt;="&amp;I$11)</f>
        <v/>
      </c>
      <c r="J67" s="103">
        <f>'Q4 Assumptions'!$G$76*J$12+SUMIFS('Q4 Assumptions'!$C$85:$C$133,'Q4 Assumptions'!$D$85:$D$133,'Q4 Assumptions'!$A$76,'Q4 Assumptions'!$B$85:$B$133,"&gt;="&amp;J$10,'Q4 Assumptions'!$B$85:$B$133,"&lt;="&amp;J$11)</f>
        <v/>
      </c>
      <c r="K67" s="103">
        <f>'Q4 Assumptions'!$G$76*K$12+SUMIFS('Q4 Assumptions'!$C$85:$C$133,'Q4 Assumptions'!$D$85:$D$133,'Q4 Assumptions'!$A$76,'Q4 Assumptions'!$B$85:$B$133,"&gt;="&amp;K$10,'Q4 Assumptions'!$B$85:$B$133,"&lt;="&amp;K$11)</f>
        <v/>
      </c>
      <c r="L67" s="103">
        <f>'Q4 Assumptions'!$G$76*L$12+SUMIFS('Q4 Assumptions'!$C$85:$C$133,'Q4 Assumptions'!$D$85:$D$133,'Q4 Assumptions'!$A$76,'Q4 Assumptions'!$B$85:$B$133,"&gt;="&amp;L$10,'Q4 Assumptions'!$B$85:$B$133,"&lt;="&amp;L$11)</f>
        <v/>
      </c>
      <c r="M67" s="103">
        <f>'Q4 Assumptions'!$G$76*M$12+SUMIFS('Q4 Assumptions'!$C$85:$C$133,'Q4 Assumptions'!$D$85:$D$133,'Q4 Assumptions'!$A$76,'Q4 Assumptions'!$B$85:$B$133,"&gt;="&amp;M$10,'Q4 Assumptions'!$B$85:$B$133,"&lt;="&amp;M$11)</f>
        <v/>
      </c>
      <c r="N67" s="103">
        <f>'Q4 Assumptions'!$G$76*N$12+SUMIFS('Q4 Assumptions'!$C$85:$C$133,'Q4 Assumptions'!$D$85:$D$133,'Q4 Assumptions'!$A$76,'Q4 Assumptions'!$B$85:$B$133,"&gt;="&amp;N$10,'Q4 Assumptions'!$B$85:$B$133,"&lt;="&amp;N$11)</f>
        <v/>
      </c>
      <c r="O67" s="103">
        <f>'Q4 Assumptions'!$G$76*O$12+SUMIFS('Q4 Assumptions'!$C$85:$C$133,'Q4 Assumptions'!$D$85:$D$133,'Q4 Assumptions'!$A$76,'Q4 Assumptions'!$B$85:$B$133,"&gt;="&amp;O$10,'Q4 Assumptions'!$B$85:$B$133,"&lt;="&amp;O$11)</f>
        <v/>
      </c>
      <c r="P67" s="103">
        <f>'Q4 Assumptions'!$G$76*P$12+SUMIFS('Q4 Assumptions'!$C$85:$C$133,'Q4 Assumptions'!$D$85:$D$133,'Q4 Assumptions'!$A$76,'Q4 Assumptions'!$B$85:$B$133,"&gt;="&amp;P$10,'Q4 Assumptions'!$B$85:$B$133,"&lt;="&amp;P$11)</f>
        <v/>
      </c>
      <c r="Q67" s="103">
        <f>'Q4 Assumptions'!$G$76*Q$12+SUMIFS('Q4 Assumptions'!$C$85:$C$133,'Q4 Assumptions'!$D$85:$D$133,'Q4 Assumptions'!$A$76,'Q4 Assumptions'!$B$85:$B$133,"&gt;="&amp;Q$10,'Q4 Assumptions'!$B$85:$B$133,"&lt;="&amp;Q$11)</f>
        <v/>
      </c>
      <c r="R67" s="104">
        <f>SUM(D67:Q67)</f>
        <v/>
      </c>
    </row>
    <row r="68">
      <c r="A68" s="101" t="n"/>
      <c r="B68" s="100" t="inlineStr">
        <is>
          <t>Dividends</t>
        </is>
      </c>
      <c r="C68" s="102">
        <f>'Q4 Assumptions'!C77</f>
        <v/>
      </c>
      <c r="D68" s="103">
        <f>'Q4 Assumptions'!$G$77*D$12+SUMIFS('Q4 Assumptions'!$C$85:$C$133,'Q4 Assumptions'!$D$85:$D$133,'Q4 Assumptions'!$A$77,'Q4 Assumptions'!$B$85:$B$133,"&gt;="&amp;D$10,'Q4 Assumptions'!$B$85:$B$133,"&lt;="&amp;D$11)</f>
        <v/>
      </c>
      <c r="E68" s="103">
        <f>'Q4 Assumptions'!$G$77*E$12+SUMIFS('Q4 Assumptions'!$C$85:$C$133,'Q4 Assumptions'!$D$85:$D$133,'Q4 Assumptions'!$A$77,'Q4 Assumptions'!$B$85:$B$133,"&gt;="&amp;E$10,'Q4 Assumptions'!$B$85:$B$133,"&lt;="&amp;E$11)</f>
        <v/>
      </c>
      <c r="F68" s="103">
        <f>'Q4 Assumptions'!$G$77*F$12+SUMIFS('Q4 Assumptions'!$C$85:$C$133,'Q4 Assumptions'!$D$85:$D$133,'Q4 Assumptions'!$A$77,'Q4 Assumptions'!$B$85:$B$133,"&gt;="&amp;F$10,'Q4 Assumptions'!$B$85:$B$133,"&lt;="&amp;F$11)</f>
        <v/>
      </c>
      <c r="G68" s="103">
        <f>'Q4 Assumptions'!$G$77*G$12+SUMIFS('Q4 Assumptions'!$C$85:$C$133,'Q4 Assumptions'!$D$85:$D$133,'Q4 Assumptions'!$A$77,'Q4 Assumptions'!$B$85:$B$133,"&gt;="&amp;G$10,'Q4 Assumptions'!$B$85:$B$133,"&lt;="&amp;G$11)</f>
        <v/>
      </c>
      <c r="H68" s="103">
        <f>'Q4 Assumptions'!$G$77*H$12+SUMIFS('Q4 Assumptions'!$C$85:$C$133,'Q4 Assumptions'!$D$85:$D$133,'Q4 Assumptions'!$A$77,'Q4 Assumptions'!$B$85:$B$133,"&gt;="&amp;H$10,'Q4 Assumptions'!$B$85:$B$133,"&lt;="&amp;H$11)</f>
        <v/>
      </c>
      <c r="I68" s="103">
        <f>'Q4 Assumptions'!$G$77*I$12+SUMIFS('Q4 Assumptions'!$C$85:$C$133,'Q4 Assumptions'!$D$85:$D$133,'Q4 Assumptions'!$A$77,'Q4 Assumptions'!$B$85:$B$133,"&gt;="&amp;I$10,'Q4 Assumptions'!$B$85:$B$133,"&lt;="&amp;I$11)</f>
        <v/>
      </c>
      <c r="J68" s="103">
        <f>'Q4 Assumptions'!$G$77*J$12+SUMIFS('Q4 Assumptions'!$C$85:$C$133,'Q4 Assumptions'!$D$85:$D$133,'Q4 Assumptions'!$A$77,'Q4 Assumptions'!$B$85:$B$133,"&gt;="&amp;J$10,'Q4 Assumptions'!$B$85:$B$133,"&lt;="&amp;J$11)</f>
        <v/>
      </c>
      <c r="K68" s="103">
        <f>'Q4 Assumptions'!$G$77*K$12+SUMIFS('Q4 Assumptions'!$C$85:$C$133,'Q4 Assumptions'!$D$85:$D$133,'Q4 Assumptions'!$A$77,'Q4 Assumptions'!$B$85:$B$133,"&gt;="&amp;K$10,'Q4 Assumptions'!$B$85:$B$133,"&lt;="&amp;K$11)</f>
        <v/>
      </c>
      <c r="L68" s="103">
        <f>'Q4 Assumptions'!$G$77*L$12+SUMIFS('Q4 Assumptions'!$C$85:$C$133,'Q4 Assumptions'!$D$85:$D$133,'Q4 Assumptions'!$A$77,'Q4 Assumptions'!$B$85:$B$133,"&gt;="&amp;L$10,'Q4 Assumptions'!$B$85:$B$133,"&lt;="&amp;L$11)</f>
        <v/>
      </c>
      <c r="M68" s="103">
        <f>'Q4 Assumptions'!$G$77*M$12+SUMIFS('Q4 Assumptions'!$C$85:$C$133,'Q4 Assumptions'!$D$85:$D$133,'Q4 Assumptions'!$A$77,'Q4 Assumptions'!$B$85:$B$133,"&gt;="&amp;M$10,'Q4 Assumptions'!$B$85:$B$133,"&lt;="&amp;M$11)</f>
        <v/>
      </c>
      <c r="N68" s="103">
        <f>'Q4 Assumptions'!$G$77*N$12+SUMIFS('Q4 Assumptions'!$C$85:$C$133,'Q4 Assumptions'!$D$85:$D$133,'Q4 Assumptions'!$A$77,'Q4 Assumptions'!$B$85:$B$133,"&gt;="&amp;N$10,'Q4 Assumptions'!$B$85:$B$133,"&lt;="&amp;N$11)</f>
        <v/>
      </c>
      <c r="O68" s="103">
        <f>'Q4 Assumptions'!$G$77*O$12+SUMIFS('Q4 Assumptions'!$C$85:$C$133,'Q4 Assumptions'!$D$85:$D$133,'Q4 Assumptions'!$A$77,'Q4 Assumptions'!$B$85:$B$133,"&gt;="&amp;O$10,'Q4 Assumptions'!$B$85:$B$133,"&lt;="&amp;O$11)</f>
        <v/>
      </c>
      <c r="P68" s="103">
        <f>'Q4 Assumptions'!$G$77*P$12+SUMIFS('Q4 Assumptions'!$C$85:$C$133,'Q4 Assumptions'!$D$85:$D$133,'Q4 Assumptions'!$A$77,'Q4 Assumptions'!$B$85:$B$133,"&gt;="&amp;P$10,'Q4 Assumptions'!$B$85:$B$133,"&lt;="&amp;P$11)</f>
        <v/>
      </c>
      <c r="Q68" s="103">
        <f>'Q4 Assumptions'!$G$77*Q$12+SUMIFS('Q4 Assumptions'!$C$85:$C$133,'Q4 Assumptions'!$D$85:$D$133,'Q4 Assumptions'!$A$77,'Q4 Assumptions'!$B$85:$B$133,"&gt;="&amp;Q$10,'Q4 Assumptions'!$B$85:$B$133,"&lt;="&amp;Q$11)</f>
        <v/>
      </c>
      <c r="R68" s="104">
        <f>SUM(D68:Q68)</f>
        <v/>
      </c>
    </row>
    <row r="69">
      <c r="A69" s="101" t="n"/>
      <c r="B69" s="100" t="inlineStr">
        <is>
          <t>Advance to related parties</t>
        </is>
      </c>
      <c r="C69" s="102">
        <f>'Q4 Assumptions'!C78</f>
        <v/>
      </c>
      <c r="D69" s="103">
        <f>'Q4 Assumptions'!$G$78*D$12+SUMIFS('Q4 Assumptions'!$C$85:$C$133,'Q4 Assumptions'!$D$85:$D$133,'Q4 Assumptions'!$A$78,'Q4 Assumptions'!$B$85:$B$133,"&gt;="&amp;D$10,'Q4 Assumptions'!$B$85:$B$133,"&lt;="&amp;D$11)</f>
        <v/>
      </c>
      <c r="E69" s="103">
        <f>'Q4 Assumptions'!$G$78*E$12+SUMIFS('Q4 Assumptions'!$C$85:$C$133,'Q4 Assumptions'!$D$85:$D$133,'Q4 Assumptions'!$A$78,'Q4 Assumptions'!$B$85:$B$133,"&gt;="&amp;E$10,'Q4 Assumptions'!$B$85:$B$133,"&lt;="&amp;E$11)</f>
        <v/>
      </c>
      <c r="F69" s="103">
        <f>'Q4 Assumptions'!$G$78*F$12+SUMIFS('Q4 Assumptions'!$C$85:$C$133,'Q4 Assumptions'!$D$85:$D$133,'Q4 Assumptions'!$A$78,'Q4 Assumptions'!$B$85:$B$133,"&gt;="&amp;F$10,'Q4 Assumptions'!$B$85:$B$133,"&lt;="&amp;F$11)</f>
        <v/>
      </c>
      <c r="G69" s="103">
        <f>'Q4 Assumptions'!$G$78*G$12+SUMIFS('Q4 Assumptions'!$C$85:$C$133,'Q4 Assumptions'!$D$85:$D$133,'Q4 Assumptions'!$A$78,'Q4 Assumptions'!$B$85:$B$133,"&gt;="&amp;G$10,'Q4 Assumptions'!$B$85:$B$133,"&lt;="&amp;G$11)</f>
        <v/>
      </c>
      <c r="H69" s="103">
        <f>'Q4 Assumptions'!$G$78*H$12+SUMIFS('Q4 Assumptions'!$C$85:$C$133,'Q4 Assumptions'!$D$85:$D$133,'Q4 Assumptions'!$A$78,'Q4 Assumptions'!$B$85:$B$133,"&gt;="&amp;H$10,'Q4 Assumptions'!$B$85:$B$133,"&lt;="&amp;H$11)</f>
        <v/>
      </c>
      <c r="I69" s="103">
        <f>'Q4 Assumptions'!$G$78*I$12+SUMIFS('Q4 Assumptions'!$C$85:$C$133,'Q4 Assumptions'!$D$85:$D$133,'Q4 Assumptions'!$A$78,'Q4 Assumptions'!$B$85:$B$133,"&gt;="&amp;I$10,'Q4 Assumptions'!$B$85:$B$133,"&lt;="&amp;I$11)</f>
        <v/>
      </c>
      <c r="J69" s="103">
        <f>'Q4 Assumptions'!$G$78*J$12+SUMIFS('Q4 Assumptions'!$C$85:$C$133,'Q4 Assumptions'!$D$85:$D$133,'Q4 Assumptions'!$A$78,'Q4 Assumptions'!$B$85:$B$133,"&gt;="&amp;J$10,'Q4 Assumptions'!$B$85:$B$133,"&lt;="&amp;J$11)</f>
        <v/>
      </c>
      <c r="K69" s="103">
        <f>'Q4 Assumptions'!$G$78*K$12+SUMIFS('Q4 Assumptions'!$C$85:$C$133,'Q4 Assumptions'!$D$85:$D$133,'Q4 Assumptions'!$A$78,'Q4 Assumptions'!$B$85:$B$133,"&gt;="&amp;K$10,'Q4 Assumptions'!$B$85:$B$133,"&lt;="&amp;K$11)</f>
        <v/>
      </c>
      <c r="L69" s="103">
        <f>'Q4 Assumptions'!$G$78*L$12+SUMIFS('Q4 Assumptions'!$C$85:$C$133,'Q4 Assumptions'!$D$85:$D$133,'Q4 Assumptions'!$A$78,'Q4 Assumptions'!$B$85:$B$133,"&gt;="&amp;L$10,'Q4 Assumptions'!$B$85:$B$133,"&lt;="&amp;L$11)</f>
        <v/>
      </c>
      <c r="M69" s="103">
        <f>'Q4 Assumptions'!$G$78*M$12+SUMIFS('Q4 Assumptions'!$C$85:$C$133,'Q4 Assumptions'!$D$85:$D$133,'Q4 Assumptions'!$A$78,'Q4 Assumptions'!$B$85:$B$133,"&gt;="&amp;M$10,'Q4 Assumptions'!$B$85:$B$133,"&lt;="&amp;M$11)</f>
        <v/>
      </c>
      <c r="N69" s="103">
        <f>'Q4 Assumptions'!$G$78*N$12+SUMIFS('Q4 Assumptions'!$C$85:$C$133,'Q4 Assumptions'!$D$85:$D$133,'Q4 Assumptions'!$A$78,'Q4 Assumptions'!$B$85:$B$133,"&gt;="&amp;N$10,'Q4 Assumptions'!$B$85:$B$133,"&lt;="&amp;N$11)</f>
        <v/>
      </c>
      <c r="O69" s="103">
        <f>'Q4 Assumptions'!$G$78*O$12+SUMIFS('Q4 Assumptions'!$C$85:$C$133,'Q4 Assumptions'!$D$85:$D$133,'Q4 Assumptions'!$A$78,'Q4 Assumptions'!$B$85:$B$133,"&gt;="&amp;O$10,'Q4 Assumptions'!$B$85:$B$133,"&lt;="&amp;O$11)</f>
        <v/>
      </c>
      <c r="P69" s="103">
        <f>'Q4 Assumptions'!$G$78*P$12+SUMIFS('Q4 Assumptions'!$C$85:$C$133,'Q4 Assumptions'!$D$85:$D$133,'Q4 Assumptions'!$A$78,'Q4 Assumptions'!$B$85:$B$133,"&gt;="&amp;P$10,'Q4 Assumptions'!$B$85:$B$133,"&lt;="&amp;P$11)</f>
        <v/>
      </c>
      <c r="Q69" s="103">
        <f>'Q4 Assumptions'!$G$78*Q$12+SUMIFS('Q4 Assumptions'!$C$85:$C$133,'Q4 Assumptions'!$D$85:$D$133,'Q4 Assumptions'!$A$78,'Q4 Assumptions'!$B$85:$B$133,"&gt;="&amp;Q$10,'Q4 Assumptions'!$B$85:$B$133,"&lt;="&amp;Q$11)</f>
        <v/>
      </c>
      <c r="R69" s="104">
        <f>SUM(D69:Q69)</f>
        <v/>
      </c>
    </row>
    <row r="70">
      <c r="A70" s="101" t="n"/>
      <c r="B70" s="100" t="inlineStr">
        <is>
          <t>Repayment to related parties</t>
        </is>
      </c>
      <c r="C70" s="102">
        <f>'Q4 Assumptions'!C79</f>
        <v/>
      </c>
      <c r="D70" s="103">
        <f>'Q4 Assumptions'!$G$79*D$12+SUMIFS('Q4 Assumptions'!$C$85:$C$133,'Q4 Assumptions'!$D$85:$D$133,'Q4 Assumptions'!$A$79,'Q4 Assumptions'!$B$85:$B$133,"&gt;="&amp;D$10,'Q4 Assumptions'!$B$85:$B$133,"&lt;="&amp;D$11)</f>
        <v/>
      </c>
      <c r="E70" s="103">
        <f>'Q4 Assumptions'!$G$79*E$12+SUMIFS('Q4 Assumptions'!$C$85:$C$133,'Q4 Assumptions'!$D$85:$D$133,'Q4 Assumptions'!$A$79,'Q4 Assumptions'!$B$85:$B$133,"&gt;="&amp;E$10,'Q4 Assumptions'!$B$85:$B$133,"&lt;="&amp;E$11)</f>
        <v/>
      </c>
      <c r="F70" s="103">
        <f>'Q4 Assumptions'!$G$79*F$12+SUMIFS('Q4 Assumptions'!$C$85:$C$133,'Q4 Assumptions'!$D$85:$D$133,'Q4 Assumptions'!$A$79,'Q4 Assumptions'!$B$85:$B$133,"&gt;="&amp;F$10,'Q4 Assumptions'!$B$85:$B$133,"&lt;="&amp;F$11)</f>
        <v/>
      </c>
      <c r="G70" s="103">
        <f>'Q4 Assumptions'!$G$79*G$12+SUMIFS('Q4 Assumptions'!$C$85:$C$133,'Q4 Assumptions'!$D$85:$D$133,'Q4 Assumptions'!$A$79,'Q4 Assumptions'!$B$85:$B$133,"&gt;="&amp;G$10,'Q4 Assumptions'!$B$85:$B$133,"&lt;="&amp;G$11)</f>
        <v/>
      </c>
      <c r="H70" s="103">
        <f>'Q4 Assumptions'!$G$79*H$12+SUMIFS('Q4 Assumptions'!$C$85:$C$133,'Q4 Assumptions'!$D$85:$D$133,'Q4 Assumptions'!$A$79,'Q4 Assumptions'!$B$85:$B$133,"&gt;="&amp;H$10,'Q4 Assumptions'!$B$85:$B$133,"&lt;="&amp;H$11)</f>
        <v/>
      </c>
      <c r="I70" s="103">
        <f>'Q4 Assumptions'!$G$79*I$12+SUMIFS('Q4 Assumptions'!$C$85:$C$133,'Q4 Assumptions'!$D$85:$D$133,'Q4 Assumptions'!$A$79,'Q4 Assumptions'!$B$85:$B$133,"&gt;="&amp;I$10,'Q4 Assumptions'!$B$85:$B$133,"&lt;="&amp;I$11)</f>
        <v/>
      </c>
      <c r="J70" s="103">
        <f>'Q4 Assumptions'!$G$79*J$12+SUMIFS('Q4 Assumptions'!$C$85:$C$133,'Q4 Assumptions'!$D$85:$D$133,'Q4 Assumptions'!$A$79,'Q4 Assumptions'!$B$85:$B$133,"&gt;="&amp;J$10,'Q4 Assumptions'!$B$85:$B$133,"&lt;="&amp;J$11)</f>
        <v/>
      </c>
      <c r="K70" s="103">
        <f>'Q4 Assumptions'!$G$79*K$12+SUMIFS('Q4 Assumptions'!$C$85:$C$133,'Q4 Assumptions'!$D$85:$D$133,'Q4 Assumptions'!$A$79,'Q4 Assumptions'!$B$85:$B$133,"&gt;="&amp;K$10,'Q4 Assumptions'!$B$85:$B$133,"&lt;="&amp;K$11)</f>
        <v/>
      </c>
      <c r="L70" s="103">
        <f>'Q4 Assumptions'!$G$79*L$12+SUMIFS('Q4 Assumptions'!$C$85:$C$133,'Q4 Assumptions'!$D$85:$D$133,'Q4 Assumptions'!$A$79,'Q4 Assumptions'!$B$85:$B$133,"&gt;="&amp;L$10,'Q4 Assumptions'!$B$85:$B$133,"&lt;="&amp;L$11)</f>
        <v/>
      </c>
      <c r="M70" s="103">
        <f>'Q4 Assumptions'!$G$79*M$12+SUMIFS('Q4 Assumptions'!$C$85:$C$133,'Q4 Assumptions'!$D$85:$D$133,'Q4 Assumptions'!$A$79,'Q4 Assumptions'!$B$85:$B$133,"&gt;="&amp;M$10,'Q4 Assumptions'!$B$85:$B$133,"&lt;="&amp;M$11)</f>
        <v/>
      </c>
      <c r="N70" s="103">
        <f>'Q4 Assumptions'!$G$79*N$12+SUMIFS('Q4 Assumptions'!$C$85:$C$133,'Q4 Assumptions'!$D$85:$D$133,'Q4 Assumptions'!$A$79,'Q4 Assumptions'!$B$85:$B$133,"&gt;="&amp;N$10,'Q4 Assumptions'!$B$85:$B$133,"&lt;="&amp;N$11)</f>
        <v/>
      </c>
      <c r="O70" s="103">
        <f>'Q4 Assumptions'!$G$79*O$12+SUMIFS('Q4 Assumptions'!$C$85:$C$133,'Q4 Assumptions'!$D$85:$D$133,'Q4 Assumptions'!$A$79,'Q4 Assumptions'!$B$85:$B$133,"&gt;="&amp;O$10,'Q4 Assumptions'!$B$85:$B$133,"&lt;="&amp;O$11)</f>
        <v/>
      </c>
      <c r="P70" s="103">
        <f>'Q4 Assumptions'!$G$79*P$12+SUMIFS('Q4 Assumptions'!$C$85:$C$133,'Q4 Assumptions'!$D$85:$D$133,'Q4 Assumptions'!$A$79,'Q4 Assumptions'!$B$85:$B$133,"&gt;="&amp;P$10,'Q4 Assumptions'!$B$85:$B$133,"&lt;="&amp;P$11)</f>
        <v/>
      </c>
      <c r="Q70" s="103">
        <f>'Q4 Assumptions'!$G$79*Q$12+SUMIFS('Q4 Assumptions'!$C$85:$C$133,'Q4 Assumptions'!$D$85:$D$133,'Q4 Assumptions'!$A$79,'Q4 Assumptions'!$B$85:$B$133,"&gt;="&amp;Q$10,'Q4 Assumptions'!$B$85:$B$133,"&lt;="&amp;Q$11)</f>
        <v/>
      </c>
      <c r="R70" s="104">
        <f>SUM(D70:Q70)</f>
        <v/>
      </c>
    </row>
    <row r="71">
      <c r="A71" s="101" t="n"/>
      <c r="B71" s="100" t="inlineStr">
        <is>
          <t>Pending</t>
        </is>
      </c>
      <c r="C71" s="102">
        <f>'Q4 Assumptions'!C80</f>
        <v/>
      </c>
      <c r="D71" s="103">
        <f>'Q4 Assumptions'!$G$80*D$12+SUMIFS('Q4 Assumptions'!$C$85:$C$133,'Q4 Assumptions'!$D$85:$D$133,'Q4 Assumptions'!$A$80,'Q4 Assumptions'!$B$85:$B$133,"&gt;="&amp;D$10,'Q4 Assumptions'!$B$85:$B$133,"&lt;="&amp;D$11)</f>
        <v/>
      </c>
      <c r="E71" s="103">
        <f>'Q4 Assumptions'!$G$80*E$12+SUMIFS('Q4 Assumptions'!$C$85:$C$133,'Q4 Assumptions'!$D$85:$D$133,'Q4 Assumptions'!$A$80,'Q4 Assumptions'!$B$85:$B$133,"&gt;="&amp;E$10,'Q4 Assumptions'!$B$85:$B$133,"&lt;="&amp;E$11)</f>
        <v/>
      </c>
      <c r="F71" s="103">
        <f>'Q4 Assumptions'!$G$80*F$12+SUMIFS('Q4 Assumptions'!$C$85:$C$133,'Q4 Assumptions'!$D$85:$D$133,'Q4 Assumptions'!$A$80,'Q4 Assumptions'!$B$85:$B$133,"&gt;="&amp;F$10,'Q4 Assumptions'!$B$85:$B$133,"&lt;="&amp;F$11)</f>
        <v/>
      </c>
      <c r="G71" s="103">
        <f>'Q4 Assumptions'!$G$80*G$12+SUMIFS('Q4 Assumptions'!$C$85:$C$133,'Q4 Assumptions'!$D$85:$D$133,'Q4 Assumptions'!$A$80,'Q4 Assumptions'!$B$85:$B$133,"&gt;="&amp;G$10,'Q4 Assumptions'!$B$85:$B$133,"&lt;="&amp;G$11)</f>
        <v/>
      </c>
      <c r="H71" s="103">
        <f>'Q4 Assumptions'!$G$80*H$12+SUMIFS('Q4 Assumptions'!$C$85:$C$133,'Q4 Assumptions'!$D$85:$D$133,'Q4 Assumptions'!$A$80,'Q4 Assumptions'!$B$85:$B$133,"&gt;="&amp;H$10,'Q4 Assumptions'!$B$85:$B$133,"&lt;="&amp;H$11)</f>
        <v/>
      </c>
      <c r="I71" s="103">
        <f>'Q4 Assumptions'!$G$80*I$12+SUMIFS('Q4 Assumptions'!$C$85:$C$133,'Q4 Assumptions'!$D$85:$D$133,'Q4 Assumptions'!$A$80,'Q4 Assumptions'!$B$85:$B$133,"&gt;="&amp;I$10,'Q4 Assumptions'!$B$85:$B$133,"&lt;="&amp;I$11)</f>
        <v/>
      </c>
      <c r="J71" s="103">
        <f>'Q4 Assumptions'!$G$80*J$12+SUMIFS('Q4 Assumptions'!$C$85:$C$133,'Q4 Assumptions'!$D$85:$D$133,'Q4 Assumptions'!$A$80,'Q4 Assumptions'!$B$85:$B$133,"&gt;="&amp;J$10,'Q4 Assumptions'!$B$85:$B$133,"&lt;="&amp;J$11)</f>
        <v/>
      </c>
      <c r="K71" s="103">
        <f>'Q4 Assumptions'!$G$80*K$12+SUMIFS('Q4 Assumptions'!$C$85:$C$133,'Q4 Assumptions'!$D$85:$D$133,'Q4 Assumptions'!$A$80,'Q4 Assumptions'!$B$85:$B$133,"&gt;="&amp;K$10,'Q4 Assumptions'!$B$85:$B$133,"&lt;="&amp;K$11)</f>
        <v/>
      </c>
      <c r="L71" s="103">
        <f>'Q4 Assumptions'!$G$80*L$12+SUMIFS('Q4 Assumptions'!$C$85:$C$133,'Q4 Assumptions'!$D$85:$D$133,'Q4 Assumptions'!$A$80,'Q4 Assumptions'!$B$85:$B$133,"&gt;="&amp;L$10,'Q4 Assumptions'!$B$85:$B$133,"&lt;="&amp;L$11)</f>
        <v/>
      </c>
      <c r="M71" s="103">
        <f>'Q4 Assumptions'!$G$80*M$12+SUMIFS('Q4 Assumptions'!$C$85:$C$133,'Q4 Assumptions'!$D$85:$D$133,'Q4 Assumptions'!$A$80,'Q4 Assumptions'!$B$85:$B$133,"&gt;="&amp;M$10,'Q4 Assumptions'!$B$85:$B$133,"&lt;="&amp;M$11)</f>
        <v/>
      </c>
      <c r="N71" s="103">
        <f>'Q4 Assumptions'!$G$80*N$12+SUMIFS('Q4 Assumptions'!$C$85:$C$133,'Q4 Assumptions'!$D$85:$D$133,'Q4 Assumptions'!$A$80,'Q4 Assumptions'!$B$85:$B$133,"&gt;="&amp;N$10,'Q4 Assumptions'!$B$85:$B$133,"&lt;="&amp;N$11)</f>
        <v/>
      </c>
      <c r="O71" s="103">
        <f>'Q4 Assumptions'!$G$80*O$12+SUMIFS('Q4 Assumptions'!$C$85:$C$133,'Q4 Assumptions'!$D$85:$D$133,'Q4 Assumptions'!$A$80,'Q4 Assumptions'!$B$85:$B$133,"&gt;="&amp;O$10,'Q4 Assumptions'!$B$85:$B$133,"&lt;="&amp;O$11)</f>
        <v/>
      </c>
      <c r="P71" s="103">
        <f>'Q4 Assumptions'!$G$80*P$12+SUMIFS('Q4 Assumptions'!$C$85:$C$133,'Q4 Assumptions'!$D$85:$D$133,'Q4 Assumptions'!$A$80,'Q4 Assumptions'!$B$85:$B$133,"&gt;="&amp;P$10,'Q4 Assumptions'!$B$85:$B$133,"&lt;="&amp;P$11)</f>
        <v/>
      </c>
      <c r="Q71" s="103">
        <f>'Q4 Assumptions'!$G$80*Q$12+SUMIFS('Q4 Assumptions'!$C$85:$C$133,'Q4 Assumptions'!$D$85:$D$133,'Q4 Assumptions'!$A$80,'Q4 Assumptions'!$B$85:$B$133,"&gt;="&amp;Q$10,'Q4 Assumptions'!$B$85:$B$133,"&lt;="&amp;Q$11)</f>
        <v/>
      </c>
      <c r="R71" s="104">
        <f>SUM(D71:Q71)</f>
        <v/>
      </c>
    </row>
    <row r="72">
      <c r="A72" s="105" t="inlineStr">
        <is>
          <t>Net Cash Flow from Financing Activities</t>
        </is>
      </c>
      <c r="B72" s="106" t="n"/>
      <c r="C72" s="107">
        <f>C60+C61+C62+C63+C65+C66+C67+C68+C69+C70+C71</f>
        <v/>
      </c>
      <c r="D72" s="107">
        <f>D60+D61+D62+D63+D65+D66+D67+D68+D69+D70+D71</f>
        <v/>
      </c>
      <c r="E72" s="107">
        <f>E60+E61+E62+E63+E65+E66+E67+E68+E69+E70+E71</f>
        <v/>
      </c>
      <c r="F72" s="107">
        <f>F60+F61+F62+F63+F65+F66+F67+F68+F69+F70+F71</f>
        <v/>
      </c>
      <c r="G72" s="107">
        <f>G60+G61+G62+G63+G65+G66+G67+G68+G69+G70+G71</f>
        <v/>
      </c>
      <c r="H72" s="107">
        <f>H60+H61+H62+H63+H65+H66+H67+H68+H69+H70+H71</f>
        <v/>
      </c>
      <c r="I72" s="107">
        <f>I60+I61+I62+I63+I65+I66+I67+I68+I69+I70+I71</f>
        <v/>
      </c>
      <c r="J72" s="107">
        <f>J60+J61+J62+J63+J65+J66+J67+J68+J69+J70+J71</f>
        <v/>
      </c>
      <c r="K72" s="107">
        <f>K60+K61+K62+K63+K65+K66+K67+K68+K69+K70+K71</f>
        <v/>
      </c>
      <c r="L72" s="107">
        <f>L60+L61+L62+L63+L65+L66+L67+L68+L69+L70+L71</f>
        <v/>
      </c>
      <c r="M72" s="107">
        <f>M60+M61+M62+M63+M65+M66+M67+M68+M69+M70+M71</f>
        <v/>
      </c>
      <c r="N72" s="107">
        <f>N60+N61+N62+N63+N65+N66+N67+N68+N69+N70+N71</f>
        <v/>
      </c>
      <c r="O72" s="107">
        <f>O60+O61+O62+O63+O65+O66+O67+O68+O69+O70+O71</f>
        <v/>
      </c>
      <c r="P72" s="107">
        <f>P60+P61+P62+P63+P65+P66+P67+P68+P69+P70+P71</f>
        <v/>
      </c>
      <c r="Q72" s="107">
        <f>Q60+Q61+Q62+Q63+Q65+Q66+Q67+Q68+Q69+Q70+Q71</f>
        <v/>
      </c>
      <c r="R72" s="107">
        <f>R60+R61+R62+R63+R65+R66+R67+R68+R69+R70+R71</f>
        <v/>
      </c>
    </row>
    <row r="74">
      <c r="A74" s="109" t="inlineStr">
        <is>
          <t>Net Cash Flow</t>
        </is>
      </c>
      <c r="B74" s="110" t="n"/>
      <c r="C74" s="111">
        <f>C41+C56+C72</f>
        <v/>
      </c>
      <c r="D74" s="111">
        <f>D41+D56+D72</f>
        <v/>
      </c>
      <c r="E74" s="111">
        <f>E41+E56+E72</f>
        <v/>
      </c>
      <c r="F74" s="111">
        <f>F41+F56+F72</f>
        <v/>
      </c>
      <c r="G74" s="111">
        <f>G41+G56+G72</f>
        <v/>
      </c>
      <c r="H74" s="111">
        <f>H41+H56+H72</f>
        <v/>
      </c>
      <c r="I74" s="111">
        <f>I41+I56+I72</f>
        <v/>
      </c>
      <c r="J74" s="111">
        <f>J41+J56+J72</f>
        <v/>
      </c>
      <c r="K74" s="111">
        <f>K41+K56+K72</f>
        <v/>
      </c>
      <c r="L74" s="111">
        <f>L41+L56+L72</f>
        <v/>
      </c>
      <c r="M74" s="111">
        <f>M41+M56+M72</f>
        <v/>
      </c>
      <c r="N74" s="111">
        <f>N41+N56+N72</f>
        <v/>
      </c>
      <c r="O74" s="111">
        <f>O41+O56+O72</f>
        <v/>
      </c>
      <c r="P74" s="111">
        <f>P41+P56+P72</f>
        <v/>
      </c>
      <c r="Q74" s="111">
        <f>Q41+Q56+Q72</f>
        <v/>
      </c>
      <c r="R74" s="111">
        <f>R41+R56+R72</f>
        <v/>
      </c>
    </row>
    <row r="76">
      <c r="A76" s="112" t="inlineStr">
        <is>
          <t>Bank Balance at Beginning of Period - MAYBANK + RHB</t>
        </is>
      </c>
      <c r="B76" s="113" t="n"/>
      <c r="C76" s="114">
        <f>'Q4 Assumptions'!$B$33</f>
        <v/>
      </c>
      <c r="D76" s="114">
        <f>'Q4 Assumptions'!$B$7+'Q4 Assumptions'!$B$8</f>
        <v/>
      </c>
      <c r="E76" s="115">
        <f>D77</f>
        <v/>
      </c>
      <c r="F76" s="115">
        <f>E77</f>
        <v/>
      </c>
      <c r="G76" s="115">
        <f>F77</f>
        <v/>
      </c>
      <c r="H76" s="115">
        <f>G77</f>
        <v/>
      </c>
      <c r="I76" s="115">
        <f>H77</f>
        <v/>
      </c>
      <c r="J76" s="115">
        <f>I77</f>
        <v/>
      </c>
      <c r="K76" s="115">
        <f>J77</f>
        <v/>
      </c>
      <c r="L76" s="115">
        <f>K77</f>
        <v/>
      </c>
      <c r="M76" s="115">
        <f>L77</f>
        <v/>
      </c>
      <c r="N76" s="115">
        <f>M77</f>
        <v/>
      </c>
      <c r="O76" s="115">
        <f>N77</f>
        <v/>
      </c>
      <c r="P76" s="115">
        <f>O77</f>
        <v/>
      </c>
      <c r="Q76" s="115">
        <f>P77</f>
        <v/>
      </c>
      <c r="R76" s="115">
        <f>D76</f>
        <v/>
      </c>
    </row>
    <row r="77">
      <c r="A77" s="112" t="inlineStr">
        <is>
          <t>Bank Balance at End of Period - MAYBANK + RHB</t>
        </is>
      </c>
      <c r="B77" s="113" t="n"/>
      <c r="C77" s="115">
        <f>C76+C74</f>
        <v/>
      </c>
      <c r="D77" s="115">
        <f>D76+D74</f>
        <v/>
      </c>
      <c r="E77" s="115">
        <f>E76+E74</f>
        <v/>
      </c>
      <c r="F77" s="115">
        <f>F76+F74</f>
        <v/>
      </c>
      <c r="G77" s="115">
        <f>G76+G74</f>
        <v/>
      </c>
      <c r="H77" s="115">
        <f>H76+H74</f>
        <v/>
      </c>
      <c r="I77" s="115">
        <f>I76+I74</f>
        <v/>
      </c>
      <c r="J77" s="115">
        <f>J76+J74</f>
        <v/>
      </c>
      <c r="K77" s="115">
        <f>K76+K74</f>
        <v/>
      </c>
      <c r="L77" s="115">
        <f>L76+L74</f>
        <v/>
      </c>
      <c r="M77" s="115">
        <f>M76+M74</f>
        <v/>
      </c>
      <c r="N77" s="115">
        <f>N76+N74</f>
        <v/>
      </c>
      <c r="O77" s="115">
        <f>O76+O74</f>
        <v/>
      </c>
      <c r="P77" s="115">
        <f>P76+P74</f>
        <v/>
      </c>
      <c r="Q77" s="115">
        <f>Q76+Q74</f>
        <v/>
      </c>
      <c r="R77" s="116">
        <f>R76+R74</f>
        <v/>
      </c>
    </row>
    <row r="78">
      <c r="A78" s="54" t="inlineStr">
        <is>
          <t xml:space="preserve">   of which MAYBANK</t>
        </is>
      </c>
      <c r="C78" s="85">
        <f>C77</f>
        <v/>
      </c>
      <c r="D78" s="85">
        <f>D99</f>
        <v/>
      </c>
      <c r="E78" s="85">
        <f>E99</f>
        <v/>
      </c>
      <c r="F78" s="85">
        <f>F99</f>
        <v/>
      </c>
      <c r="G78" s="85">
        <f>G99</f>
        <v/>
      </c>
      <c r="H78" s="85">
        <f>H99</f>
        <v/>
      </c>
      <c r="I78" s="85">
        <f>I99</f>
        <v/>
      </c>
      <c r="J78" s="85">
        <f>J99</f>
        <v/>
      </c>
      <c r="K78" s="85">
        <f>K99</f>
        <v/>
      </c>
      <c r="L78" s="85">
        <f>L99</f>
        <v/>
      </c>
      <c r="M78" s="85">
        <f>M99</f>
        <v/>
      </c>
      <c r="N78" s="85">
        <f>N99</f>
        <v/>
      </c>
      <c r="O78" s="85">
        <f>O99</f>
        <v/>
      </c>
      <c r="P78" s="85">
        <f>P99</f>
        <v/>
      </c>
      <c r="Q78" s="85">
        <f>Q99</f>
        <v/>
      </c>
      <c r="R78" s="85">
        <f>R99</f>
        <v/>
      </c>
    </row>
    <row r="79">
      <c r="A79" s="54" t="inlineStr">
        <is>
          <t xml:space="preserve">   of which RHB</t>
        </is>
      </c>
      <c r="C79" s="52" t="inlineStr">
        <is>
          <t>n/a</t>
        </is>
      </c>
      <c r="D79" s="85">
        <f>D98</f>
        <v/>
      </c>
      <c r="E79" s="85">
        <f>E98</f>
        <v/>
      </c>
      <c r="F79" s="85">
        <f>F98</f>
        <v/>
      </c>
      <c r="G79" s="85">
        <f>G98</f>
        <v/>
      </c>
      <c r="H79" s="85">
        <f>H98</f>
        <v/>
      </c>
      <c r="I79" s="85">
        <f>I98</f>
        <v/>
      </c>
      <c r="J79" s="85">
        <f>J98</f>
        <v/>
      </c>
      <c r="K79" s="85">
        <f>K98</f>
        <v/>
      </c>
      <c r="L79" s="85">
        <f>L98</f>
        <v/>
      </c>
      <c r="M79" s="85">
        <f>M98</f>
        <v/>
      </c>
      <c r="N79" s="85">
        <f>N98</f>
        <v/>
      </c>
      <c r="O79" s="85">
        <f>O98</f>
        <v/>
      </c>
      <c r="P79" s="85">
        <f>P98</f>
        <v/>
      </c>
      <c r="Q79" s="85">
        <f>Q98</f>
        <v/>
      </c>
      <c r="R79" s="85">
        <f>R98</f>
        <v/>
      </c>
    </row>
    <row r="82">
      <c r="A82" s="64" t="inlineStr">
        <is>
          <t>MEMO — amounts already included in the lines above</t>
        </is>
      </c>
      <c r="B82" s="65" t="n"/>
      <c r="C82" s="65" t="n"/>
      <c r="D82" s="65" t="n"/>
      <c r="E82" s="65" t="n"/>
      <c r="F82" s="65" t="n"/>
      <c r="G82" s="65" t="n"/>
      <c r="H82" s="65" t="n"/>
      <c r="I82" s="65" t="n"/>
      <c r="J82" s="65" t="n"/>
      <c r="K82" s="65" t="n"/>
      <c r="L82" s="65" t="n"/>
      <c r="M82" s="65" t="n"/>
      <c r="N82" s="65" t="n"/>
      <c r="O82" s="65" t="n"/>
      <c r="P82" s="65" t="n"/>
      <c r="Q82" s="65" t="n"/>
      <c r="R82" s="65" t="n"/>
    </row>
    <row r="83">
      <c r="A83" s="56" t="inlineStr">
        <is>
          <t xml:space="preserve">   New-outlet sales (in Customers &amp; Sales)</t>
        </is>
      </c>
      <c r="D83" s="85">
        <f>'Q4 Outlet Schedule'!I18</f>
        <v/>
      </c>
      <c r="E83" s="85">
        <f>'Q4 Outlet Schedule'!J18</f>
        <v/>
      </c>
      <c r="F83" s="85">
        <f>'Q4 Outlet Schedule'!K18</f>
        <v/>
      </c>
      <c r="G83" s="85">
        <f>'Q4 Outlet Schedule'!L18</f>
        <v/>
      </c>
      <c r="H83" s="85">
        <f>'Q4 Outlet Schedule'!M18</f>
        <v/>
      </c>
      <c r="I83" s="85">
        <f>'Q4 Outlet Schedule'!N18</f>
        <v/>
      </c>
      <c r="J83" s="85">
        <f>'Q4 Outlet Schedule'!O18</f>
        <v/>
      </c>
      <c r="K83" s="85">
        <f>'Q4 Outlet Schedule'!P18</f>
        <v/>
      </c>
      <c r="L83" s="85">
        <f>'Q4 Outlet Schedule'!Q18</f>
        <v/>
      </c>
      <c r="M83" s="85">
        <f>'Q4 Outlet Schedule'!R18</f>
        <v/>
      </c>
      <c r="N83" s="85">
        <f>'Q4 Outlet Schedule'!S18</f>
        <v/>
      </c>
      <c r="O83" s="85">
        <f>'Q4 Outlet Schedule'!T18</f>
        <v/>
      </c>
      <c r="P83" s="85">
        <f>'Q4 Outlet Schedule'!U18</f>
        <v/>
      </c>
      <c r="Q83" s="85">
        <f>'Q4 Outlet Schedule'!V18</f>
        <v/>
      </c>
      <c r="R83" s="93">
        <f>SUM(D83:Q83)</f>
        <v/>
      </c>
    </row>
    <row r="84">
      <c r="A84" s="56" t="inlineStr">
        <is>
          <t xml:space="preserve">   Average no. of new outlets open in the week</t>
        </is>
      </c>
      <c r="D84" s="85">
        <f>D83/('Q4 Assumptions'!$B$13*D$12)</f>
        <v/>
      </c>
      <c r="E84" s="85">
        <f>E83/('Q4 Assumptions'!$B$13*E$12)</f>
        <v/>
      </c>
      <c r="F84" s="85">
        <f>F83/('Q4 Assumptions'!$B$13*F$12)</f>
        <v/>
      </c>
      <c r="G84" s="85">
        <f>G83/('Q4 Assumptions'!$B$13*G$12)</f>
        <v/>
      </c>
      <c r="H84" s="85">
        <f>H83/('Q4 Assumptions'!$B$13*H$12)</f>
        <v/>
      </c>
      <c r="I84" s="85">
        <f>I83/('Q4 Assumptions'!$B$13*I$12)</f>
        <v/>
      </c>
      <c r="J84" s="85">
        <f>J83/('Q4 Assumptions'!$B$13*J$12)</f>
        <v/>
      </c>
      <c r="K84" s="85">
        <f>K83/('Q4 Assumptions'!$B$13*K$12)</f>
        <v/>
      </c>
      <c r="L84" s="85">
        <f>L83/('Q4 Assumptions'!$B$13*L$12)</f>
        <v/>
      </c>
      <c r="M84" s="85">
        <f>M83/('Q4 Assumptions'!$B$13*M$12)</f>
        <v/>
      </c>
      <c r="N84" s="85">
        <f>N83/('Q4 Assumptions'!$B$13*N$12)</f>
        <v/>
      </c>
      <c r="O84" s="85">
        <f>O83/('Q4 Assumptions'!$B$13*O$12)</f>
        <v/>
      </c>
      <c r="P84" s="85">
        <f>P83/('Q4 Assumptions'!$B$13*P$12)</f>
        <v/>
      </c>
      <c r="Q84" s="85">
        <f>Q83/('Q4 Assumptions'!$B$13*Q$12)</f>
        <v/>
      </c>
    </row>
    <row r="85">
      <c r="A85" s="56" t="inlineStr">
        <is>
          <t xml:space="preserve">   Wage increase +2% per new outlet (in Wage expenses)</t>
        </is>
      </c>
      <c r="D85" s="85">
        <f>SUMIFS('Q4 Assumptions'!$C$85:$C$133,'Q4 Assumptions'!$F$85:$F$133,"Y",'Q4 Assumptions'!$B$85:$B$133,"&gt;="&amp;D$10,'Q4 Assumptions'!$B$85:$B$133,"&lt;="&amp;D$11)*'Q4 Assumptions'!$B$15*D84</f>
        <v/>
      </c>
      <c r="E85" s="85">
        <f>SUMIFS('Q4 Assumptions'!$C$85:$C$133,'Q4 Assumptions'!$F$85:$F$133,"Y",'Q4 Assumptions'!$B$85:$B$133,"&gt;="&amp;E$10,'Q4 Assumptions'!$B$85:$B$133,"&lt;="&amp;E$11)*'Q4 Assumptions'!$B$15*E84</f>
        <v/>
      </c>
      <c r="F85" s="85">
        <f>SUMIFS('Q4 Assumptions'!$C$85:$C$133,'Q4 Assumptions'!$F$85:$F$133,"Y",'Q4 Assumptions'!$B$85:$B$133,"&gt;="&amp;F$10,'Q4 Assumptions'!$B$85:$B$133,"&lt;="&amp;F$11)*'Q4 Assumptions'!$B$15*F84</f>
        <v/>
      </c>
      <c r="G85" s="85">
        <f>SUMIFS('Q4 Assumptions'!$C$85:$C$133,'Q4 Assumptions'!$F$85:$F$133,"Y",'Q4 Assumptions'!$B$85:$B$133,"&gt;="&amp;G$10,'Q4 Assumptions'!$B$85:$B$133,"&lt;="&amp;G$11)*'Q4 Assumptions'!$B$15*G84</f>
        <v/>
      </c>
      <c r="H85" s="85">
        <f>SUMIFS('Q4 Assumptions'!$C$85:$C$133,'Q4 Assumptions'!$F$85:$F$133,"Y",'Q4 Assumptions'!$B$85:$B$133,"&gt;="&amp;H$10,'Q4 Assumptions'!$B$85:$B$133,"&lt;="&amp;H$11)*'Q4 Assumptions'!$B$15*H84</f>
        <v/>
      </c>
      <c r="I85" s="85">
        <f>SUMIFS('Q4 Assumptions'!$C$85:$C$133,'Q4 Assumptions'!$F$85:$F$133,"Y",'Q4 Assumptions'!$B$85:$B$133,"&gt;="&amp;I$10,'Q4 Assumptions'!$B$85:$B$133,"&lt;="&amp;I$11)*'Q4 Assumptions'!$B$15*I84</f>
        <v/>
      </c>
      <c r="J85" s="85">
        <f>SUMIFS('Q4 Assumptions'!$C$85:$C$133,'Q4 Assumptions'!$F$85:$F$133,"Y",'Q4 Assumptions'!$B$85:$B$133,"&gt;="&amp;J$10,'Q4 Assumptions'!$B$85:$B$133,"&lt;="&amp;J$11)*'Q4 Assumptions'!$B$15*J84</f>
        <v/>
      </c>
      <c r="K85" s="85">
        <f>SUMIFS('Q4 Assumptions'!$C$85:$C$133,'Q4 Assumptions'!$F$85:$F$133,"Y",'Q4 Assumptions'!$B$85:$B$133,"&gt;="&amp;K$10,'Q4 Assumptions'!$B$85:$B$133,"&lt;="&amp;K$11)*'Q4 Assumptions'!$B$15*K84</f>
        <v/>
      </c>
      <c r="L85" s="85">
        <f>SUMIFS('Q4 Assumptions'!$C$85:$C$133,'Q4 Assumptions'!$F$85:$F$133,"Y",'Q4 Assumptions'!$B$85:$B$133,"&gt;="&amp;L$10,'Q4 Assumptions'!$B$85:$B$133,"&lt;="&amp;L$11)*'Q4 Assumptions'!$B$15*L84</f>
        <v/>
      </c>
      <c r="M85" s="85">
        <f>SUMIFS('Q4 Assumptions'!$C$85:$C$133,'Q4 Assumptions'!$F$85:$F$133,"Y",'Q4 Assumptions'!$B$85:$B$133,"&gt;="&amp;M$10,'Q4 Assumptions'!$B$85:$B$133,"&lt;="&amp;M$11)*'Q4 Assumptions'!$B$15*M84</f>
        <v/>
      </c>
      <c r="N85" s="85">
        <f>SUMIFS('Q4 Assumptions'!$C$85:$C$133,'Q4 Assumptions'!$F$85:$F$133,"Y",'Q4 Assumptions'!$B$85:$B$133,"&gt;="&amp;N$10,'Q4 Assumptions'!$B$85:$B$133,"&lt;="&amp;N$11)*'Q4 Assumptions'!$B$15*N84</f>
        <v/>
      </c>
      <c r="O85" s="85">
        <f>SUMIFS('Q4 Assumptions'!$C$85:$C$133,'Q4 Assumptions'!$F$85:$F$133,"Y",'Q4 Assumptions'!$B$85:$B$133,"&gt;="&amp;O$10,'Q4 Assumptions'!$B$85:$B$133,"&lt;="&amp;O$11)*'Q4 Assumptions'!$B$15*O84</f>
        <v/>
      </c>
      <c r="P85" s="85">
        <f>SUMIFS('Q4 Assumptions'!$C$85:$C$133,'Q4 Assumptions'!$F$85:$F$133,"Y",'Q4 Assumptions'!$B$85:$B$133,"&gt;="&amp;P$10,'Q4 Assumptions'!$B$85:$B$133,"&lt;="&amp;P$11)*'Q4 Assumptions'!$B$15*P84</f>
        <v/>
      </c>
      <c r="Q85" s="85">
        <f>SUMIFS('Q4 Assumptions'!$C$85:$C$133,'Q4 Assumptions'!$F$85:$F$133,"Y",'Q4 Assumptions'!$B$85:$B$133,"&gt;="&amp;Q$10,'Q4 Assumptions'!$B$85:$B$133,"&lt;="&amp;Q$11)*'Q4 Assumptions'!$B$15*Q84</f>
        <v/>
      </c>
      <c r="R85" s="93">
        <f>SUM(D85:Q85)</f>
        <v/>
      </c>
    </row>
    <row r="86">
      <c r="A86" s="56" t="inlineStr">
        <is>
          <t xml:space="preserve">   Upkeep increase +1% per new outlet (in Branch Expenditure &amp; Upkeep)</t>
        </is>
      </c>
      <c r="D86" s="85">
        <f>'Q4 Assumptions'!$G$52*D$12*'Q4 Assumptions'!$B$16*D84</f>
        <v/>
      </c>
      <c r="E86" s="85">
        <f>'Q4 Assumptions'!$G$52*E$12*'Q4 Assumptions'!$B$16*E84</f>
        <v/>
      </c>
      <c r="F86" s="85">
        <f>'Q4 Assumptions'!$G$52*F$12*'Q4 Assumptions'!$B$16*F84</f>
        <v/>
      </c>
      <c r="G86" s="85">
        <f>'Q4 Assumptions'!$G$52*G$12*'Q4 Assumptions'!$B$16*G84</f>
        <v/>
      </c>
      <c r="H86" s="85">
        <f>'Q4 Assumptions'!$G$52*H$12*'Q4 Assumptions'!$B$16*H84</f>
        <v/>
      </c>
      <c r="I86" s="85">
        <f>'Q4 Assumptions'!$G$52*I$12*'Q4 Assumptions'!$B$16*I84</f>
        <v/>
      </c>
      <c r="J86" s="85">
        <f>'Q4 Assumptions'!$G$52*J$12*'Q4 Assumptions'!$B$16*J84</f>
        <v/>
      </c>
      <c r="K86" s="85">
        <f>'Q4 Assumptions'!$G$52*K$12*'Q4 Assumptions'!$B$16*K84</f>
        <v/>
      </c>
      <c r="L86" s="85">
        <f>'Q4 Assumptions'!$G$52*L$12*'Q4 Assumptions'!$B$16*L84</f>
        <v/>
      </c>
      <c r="M86" s="85">
        <f>'Q4 Assumptions'!$G$52*M$12*'Q4 Assumptions'!$B$16*M84</f>
        <v/>
      </c>
      <c r="N86" s="85">
        <f>'Q4 Assumptions'!$G$52*N$12*'Q4 Assumptions'!$B$16*N84</f>
        <v/>
      </c>
      <c r="O86" s="85">
        <f>'Q4 Assumptions'!$G$52*O$12*'Q4 Assumptions'!$B$16*O84</f>
        <v/>
      </c>
      <c r="P86" s="85">
        <f>'Q4 Assumptions'!$G$52*P$12*'Q4 Assumptions'!$B$16*P84</f>
        <v/>
      </c>
      <c r="Q86" s="85">
        <f>'Q4 Assumptions'!$G$52*Q$12*'Q4 Assumptions'!$B$16*Q84</f>
        <v/>
      </c>
      <c r="R86" s="93">
        <f>SUM(D86:Q86)</f>
        <v/>
      </c>
    </row>
    <row r="87">
      <c r="A87" s="56" t="inlineStr">
        <is>
          <t xml:space="preserve">   Inventory increase +3% per new outlet (in Inventory purchases)</t>
        </is>
      </c>
      <c r="D87" s="85">
        <f>'Q4 Assumptions'!$G$41*D$12*'Q4 Assumptions'!$B$17*D84</f>
        <v/>
      </c>
      <c r="E87" s="85">
        <f>'Q4 Assumptions'!$G$41*E$12*'Q4 Assumptions'!$B$17*E84</f>
        <v/>
      </c>
      <c r="F87" s="85">
        <f>'Q4 Assumptions'!$G$41*F$12*'Q4 Assumptions'!$B$17*F84</f>
        <v/>
      </c>
      <c r="G87" s="85">
        <f>'Q4 Assumptions'!$G$41*G$12*'Q4 Assumptions'!$B$17*G84</f>
        <v/>
      </c>
      <c r="H87" s="85">
        <f>'Q4 Assumptions'!$G$41*H$12*'Q4 Assumptions'!$B$17*H84</f>
        <v/>
      </c>
      <c r="I87" s="85">
        <f>'Q4 Assumptions'!$G$41*I$12*'Q4 Assumptions'!$B$17*I84</f>
        <v/>
      </c>
      <c r="J87" s="85">
        <f>'Q4 Assumptions'!$G$41*J$12*'Q4 Assumptions'!$B$17*J84</f>
        <v/>
      </c>
      <c r="K87" s="85">
        <f>'Q4 Assumptions'!$G$41*K$12*'Q4 Assumptions'!$B$17*K84</f>
        <v/>
      </c>
      <c r="L87" s="85">
        <f>'Q4 Assumptions'!$G$41*L$12*'Q4 Assumptions'!$B$17*L84</f>
        <v/>
      </c>
      <c r="M87" s="85">
        <f>'Q4 Assumptions'!$G$41*M$12*'Q4 Assumptions'!$B$17*M84</f>
        <v/>
      </c>
      <c r="N87" s="85">
        <f>'Q4 Assumptions'!$G$41*N$12*'Q4 Assumptions'!$B$17*N84</f>
        <v/>
      </c>
      <c r="O87" s="85">
        <f>'Q4 Assumptions'!$G$41*O$12*'Q4 Assumptions'!$B$17*O84</f>
        <v/>
      </c>
      <c r="P87" s="85">
        <f>'Q4 Assumptions'!$G$41*P$12*'Q4 Assumptions'!$B$17*P84</f>
        <v/>
      </c>
      <c r="Q87" s="85">
        <f>'Q4 Assumptions'!$G$41*Q$12*'Q4 Assumptions'!$B$17*Q84</f>
        <v/>
      </c>
      <c r="R87" s="93">
        <f>SUM(D87:Q87)</f>
        <v/>
      </c>
    </row>
    <row r="88">
      <c r="A88" s="56" t="inlineStr">
        <is>
          <t xml:space="preserve">   New-outlet rental 5% of sales (in Rental)</t>
        </is>
      </c>
      <c r="D88" s="85">
        <f>-D83*'Q4 Assumptions'!$B$14</f>
        <v/>
      </c>
      <c r="E88" s="85">
        <f>-E83*'Q4 Assumptions'!$B$14</f>
        <v/>
      </c>
      <c r="F88" s="85">
        <f>-F83*'Q4 Assumptions'!$B$14</f>
        <v/>
      </c>
      <c r="G88" s="85">
        <f>-G83*'Q4 Assumptions'!$B$14</f>
        <v/>
      </c>
      <c r="H88" s="85">
        <f>-H83*'Q4 Assumptions'!$B$14</f>
        <v/>
      </c>
      <c r="I88" s="85">
        <f>-I83*'Q4 Assumptions'!$B$14</f>
        <v/>
      </c>
      <c r="J88" s="85">
        <f>-J83*'Q4 Assumptions'!$B$14</f>
        <v/>
      </c>
      <c r="K88" s="85">
        <f>-K83*'Q4 Assumptions'!$B$14</f>
        <v/>
      </c>
      <c r="L88" s="85">
        <f>-L83*'Q4 Assumptions'!$B$14</f>
        <v/>
      </c>
      <c r="M88" s="85">
        <f>-M83*'Q4 Assumptions'!$B$14</f>
        <v/>
      </c>
      <c r="N88" s="85">
        <f>-N83*'Q4 Assumptions'!$B$14</f>
        <v/>
      </c>
      <c r="O88" s="85">
        <f>-O83*'Q4 Assumptions'!$B$14</f>
        <v/>
      </c>
      <c r="P88" s="85">
        <f>-P83*'Q4 Assumptions'!$B$14</f>
        <v/>
      </c>
      <c r="Q88" s="85">
        <f>-Q83*'Q4 Assumptions'!$B$14</f>
        <v/>
      </c>
      <c r="R88" s="93">
        <f>SUM(D88:Q88)</f>
        <v/>
      </c>
    </row>
    <row r="89">
      <c r="A89" s="56" t="inlineStr">
        <is>
          <t xml:space="preserve">   Capex new outlets (Capex New Branches)</t>
        </is>
      </c>
      <c r="D89" s="85">
        <f>-SUMIFS('Q4 Outlet Schedule'!$F$6:$F$17,'Q4 Outlet Schedule'!$G$6:$G$17,"&gt;="&amp;D$10,'Q4 Outlet Schedule'!$G$6:$G$17,"&lt;="&amp;D$11)</f>
        <v/>
      </c>
      <c r="E89" s="85">
        <f>-SUMIFS('Q4 Outlet Schedule'!$F$6:$F$17,'Q4 Outlet Schedule'!$G$6:$G$17,"&gt;="&amp;E$10,'Q4 Outlet Schedule'!$G$6:$G$17,"&lt;="&amp;E$11)</f>
        <v/>
      </c>
      <c r="F89" s="85">
        <f>-SUMIFS('Q4 Outlet Schedule'!$F$6:$F$17,'Q4 Outlet Schedule'!$G$6:$G$17,"&gt;="&amp;F$10,'Q4 Outlet Schedule'!$G$6:$G$17,"&lt;="&amp;F$11)</f>
        <v/>
      </c>
      <c r="G89" s="85">
        <f>-SUMIFS('Q4 Outlet Schedule'!$F$6:$F$17,'Q4 Outlet Schedule'!$G$6:$G$17,"&gt;="&amp;G$10,'Q4 Outlet Schedule'!$G$6:$G$17,"&lt;="&amp;G$11)</f>
        <v/>
      </c>
      <c r="H89" s="85">
        <f>-SUMIFS('Q4 Outlet Schedule'!$F$6:$F$17,'Q4 Outlet Schedule'!$G$6:$G$17,"&gt;="&amp;H$10,'Q4 Outlet Schedule'!$G$6:$G$17,"&lt;="&amp;H$11)</f>
        <v/>
      </c>
      <c r="I89" s="85">
        <f>-SUMIFS('Q4 Outlet Schedule'!$F$6:$F$17,'Q4 Outlet Schedule'!$G$6:$G$17,"&gt;="&amp;I$10,'Q4 Outlet Schedule'!$G$6:$G$17,"&lt;="&amp;I$11)</f>
        <v/>
      </c>
      <c r="J89" s="85">
        <f>-SUMIFS('Q4 Outlet Schedule'!$F$6:$F$17,'Q4 Outlet Schedule'!$G$6:$G$17,"&gt;="&amp;J$10,'Q4 Outlet Schedule'!$G$6:$G$17,"&lt;="&amp;J$11)</f>
        <v/>
      </c>
      <c r="K89" s="85">
        <f>-SUMIFS('Q4 Outlet Schedule'!$F$6:$F$17,'Q4 Outlet Schedule'!$G$6:$G$17,"&gt;="&amp;K$10,'Q4 Outlet Schedule'!$G$6:$G$17,"&lt;="&amp;K$11)</f>
        <v/>
      </c>
      <c r="L89" s="85">
        <f>-SUMIFS('Q4 Outlet Schedule'!$F$6:$F$17,'Q4 Outlet Schedule'!$G$6:$G$17,"&gt;="&amp;L$10,'Q4 Outlet Schedule'!$G$6:$G$17,"&lt;="&amp;L$11)</f>
        <v/>
      </c>
      <c r="M89" s="85">
        <f>-SUMIFS('Q4 Outlet Schedule'!$F$6:$F$17,'Q4 Outlet Schedule'!$G$6:$G$17,"&gt;="&amp;M$10,'Q4 Outlet Schedule'!$G$6:$G$17,"&lt;="&amp;M$11)</f>
        <v/>
      </c>
      <c r="N89" s="85">
        <f>-SUMIFS('Q4 Outlet Schedule'!$F$6:$F$17,'Q4 Outlet Schedule'!$G$6:$G$17,"&gt;="&amp;N$10,'Q4 Outlet Schedule'!$G$6:$G$17,"&lt;="&amp;N$11)</f>
        <v/>
      </c>
      <c r="O89" s="85">
        <f>-SUMIFS('Q4 Outlet Schedule'!$F$6:$F$17,'Q4 Outlet Schedule'!$G$6:$G$17,"&gt;="&amp;O$10,'Q4 Outlet Schedule'!$G$6:$G$17,"&lt;="&amp;O$11)</f>
        <v/>
      </c>
      <c r="P89" s="85">
        <f>-SUMIFS('Q4 Outlet Schedule'!$F$6:$F$17,'Q4 Outlet Schedule'!$G$6:$G$17,"&gt;="&amp;P$10,'Q4 Outlet Schedule'!$G$6:$G$17,"&lt;="&amp;P$11)</f>
        <v/>
      </c>
      <c r="Q89" s="85">
        <f>-SUMIFS('Q4 Outlet Schedule'!$F$6:$F$17,'Q4 Outlet Schedule'!$G$6:$G$17,"&gt;="&amp;Q$10,'Q4 Outlet Schedule'!$G$6:$G$17,"&lt;="&amp;Q$11)</f>
        <v/>
      </c>
      <c r="R89" s="93">
        <f>SUM(D89:Q89)</f>
        <v/>
      </c>
    </row>
    <row r="90">
      <c r="A90" s="56" t="inlineStr">
        <is>
          <t xml:space="preserve">   RHB cash deposits (in Customers &amp; Sales)</t>
        </is>
      </c>
      <c r="D90" s="85">
        <f>'Q4 Assumptions'!$B$27*D$12</f>
        <v/>
      </c>
      <c r="E90" s="85">
        <f>'Q4 Assumptions'!$B$27*E$12</f>
        <v/>
      </c>
      <c r="F90" s="85">
        <f>'Q4 Assumptions'!$B$27*F$12</f>
        <v/>
      </c>
      <c r="G90" s="85">
        <f>'Q4 Assumptions'!$B$27*G$12</f>
        <v/>
      </c>
      <c r="H90" s="85">
        <f>'Q4 Assumptions'!$B$27*H$12</f>
        <v/>
      </c>
      <c r="I90" s="85">
        <f>'Q4 Assumptions'!$B$27*I$12</f>
        <v/>
      </c>
      <c r="J90" s="85">
        <f>'Q4 Assumptions'!$B$27*J$12</f>
        <v/>
      </c>
      <c r="K90" s="85">
        <f>'Q4 Assumptions'!$B$27*K$12</f>
        <v/>
      </c>
      <c r="L90" s="85">
        <f>'Q4 Assumptions'!$B$27*L$12</f>
        <v/>
      </c>
      <c r="M90" s="85">
        <f>'Q4 Assumptions'!$B$27*M$12</f>
        <v/>
      </c>
      <c r="N90" s="85">
        <f>'Q4 Assumptions'!$B$27*N$12</f>
        <v/>
      </c>
      <c r="O90" s="85">
        <f>'Q4 Assumptions'!$B$27*O$12</f>
        <v/>
      </c>
      <c r="P90" s="85">
        <f>'Q4 Assumptions'!$B$27*P$12</f>
        <v/>
      </c>
      <c r="Q90" s="85">
        <f>'Q4 Assumptions'!$B$27*Q$12</f>
        <v/>
      </c>
      <c r="R90" s="93">
        <f>SUM(D90:Q90)</f>
        <v/>
      </c>
    </row>
    <row r="92">
      <c r="A92" s="64" t="inlineStr">
        <is>
          <t>SPLIT BY BANK — RHB is topped up from Maybank only when payroll needs it (transfer nets to zero combined)</t>
        </is>
      </c>
      <c r="B92" s="65" t="n"/>
      <c r="C92" s="65" t="n"/>
      <c r="D92" s="65" t="n"/>
      <c r="E92" s="65" t="n"/>
      <c r="F92" s="65" t="n"/>
      <c r="G92" s="65" t="n"/>
      <c r="H92" s="65" t="n"/>
      <c r="I92" s="65" t="n"/>
      <c r="J92" s="65" t="n"/>
      <c r="K92" s="65" t="n"/>
      <c r="L92" s="65" t="n"/>
      <c r="M92" s="65" t="n"/>
      <c r="N92" s="65" t="n"/>
      <c r="O92" s="65" t="n"/>
      <c r="P92" s="65" t="n"/>
      <c r="Q92" s="65" t="n"/>
      <c r="R92" s="65" t="n"/>
    </row>
    <row r="93">
      <c r="A93" s="56" t="inlineStr">
        <is>
          <t xml:space="preserve">   RHB opening balance</t>
        </is>
      </c>
      <c r="D93" s="85">
        <f>'Q4 Assumptions'!$B$8</f>
        <v/>
      </c>
      <c r="E93" s="85">
        <f>D98</f>
        <v/>
      </c>
      <c r="F93" s="85">
        <f>E98</f>
        <v/>
      </c>
      <c r="G93" s="85">
        <f>F98</f>
        <v/>
      </c>
      <c r="H93" s="85">
        <f>G98</f>
        <v/>
      </c>
      <c r="I93" s="85">
        <f>H98</f>
        <v/>
      </c>
      <c r="J93" s="85">
        <f>I98</f>
        <v/>
      </c>
      <c r="K93" s="85">
        <f>J98</f>
        <v/>
      </c>
      <c r="L93" s="85">
        <f>K98</f>
        <v/>
      </c>
      <c r="M93" s="85">
        <f>L98</f>
        <v/>
      </c>
      <c r="N93" s="85">
        <f>M98</f>
        <v/>
      </c>
      <c r="O93" s="85">
        <f>N98</f>
        <v/>
      </c>
      <c r="P93" s="85">
        <f>O98</f>
        <v/>
      </c>
      <c r="Q93" s="85">
        <f>P98</f>
        <v/>
      </c>
      <c r="R93" s="85">
        <f>D93</f>
        <v/>
      </c>
    </row>
    <row r="94">
      <c r="A94" s="56" t="inlineStr">
        <is>
          <t xml:space="preserve">   RHB cash deposits</t>
        </is>
      </c>
      <c r="D94" s="85">
        <f>D90</f>
        <v/>
      </c>
      <c r="E94" s="85">
        <f>E90</f>
        <v/>
      </c>
      <c r="F94" s="85">
        <f>F90</f>
        <v/>
      </c>
      <c r="G94" s="85">
        <f>G90</f>
        <v/>
      </c>
      <c r="H94" s="85">
        <f>H90</f>
        <v/>
      </c>
      <c r="I94" s="85">
        <f>I90</f>
        <v/>
      </c>
      <c r="J94" s="85">
        <f>J90</f>
        <v/>
      </c>
      <c r="K94" s="85">
        <f>K90</f>
        <v/>
      </c>
      <c r="L94" s="85">
        <f>L90</f>
        <v/>
      </c>
      <c r="M94" s="85">
        <f>M90</f>
        <v/>
      </c>
      <c r="N94" s="85">
        <f>N90</f>
        <v/>
      </c>
      <c r="O94" s="85">
        <f>O90</f>
        <v/>
      </c>
      <c r="P94" s="85">
        <f>P90</f>
        <v/>
      </c>
      <c r="Q94" s="85">
        <f>Q90</f>
        <v/>
      </c>
      <c r="R94" s="93">
        <f>SUM(D94:Q94)</f>
        <v/>
      </c>
    </row>
    <row r="95">
      <c r="A95" s="56" t="inlineStr">
        <is>
          <t xml:space="preserve">   RHB licensing / payroll (incl. +2% per outlet) / bonus</t>
        </is>
      </c>
      <c r="D95" s="85">
        <f>SUMIFS('Q4 Assumptions'!$C$85:$C$133,'Q4 Assumptions'!$E$85:$E$133,"RHB",'Q4 Assumptions'!$B$85:$B$133,"&gt;="&amp;D$10,'Q4 Assumptions'!$B$85:$B$133,"&lt;="&amp;D$11)+SUMIFS('Q4 Assumptions'!$C$85:$C$133,'Q4 Assumptions'!$E$85:$E$133,"RHB",'Q4 Assumptions'!$F$85:$F$133,"Y",'Q4 Assumptions'!$B$85:$B$133,"&gt;="&amp;D$10,'Q4 Assumptions'!$B$85:$B$133,"&lt;="&amp;D$11)*'Q4 Assumptions'!$B$15*D84</f>
        <v/>
      </c>
      <c r="E95" s="85">
        <f>SUMIFS('Q4 Assumptions'!$C$85:$C$133,'Q4 Assumptions'!$E$85:$E$133,"RHB",'Q4 Assumptions'!$B$85:$B$133,"&gt;="&amp;E$10,'Q4 Assumptions'!$B$85:$B$133,"&lt;="&amp;E$11)+SUMIFS('Q4 Assumptions'!$C$85:$C$133,'Q4 Assumptions'!$E$85:$E$133,"RHB",'Q4 Assumptions'!$F$85:$F$133,"Y",'Q4 Assumptions'!$B$85:$B$133,"&gt;="&amp;E$10,'Q4 Assumptions'!$B$85:$B$133,"&lt;="&amp;E$11)*'Q4 Assumptions'!$B$15*E84</f>
        <v/>
      </c>
      <c r="F95" s="85">
        <f>SUMIFS('Q4 Assumptions'!$C$85:$C$133,'Q4 Assumptions'!$E$85:$E$133,"RHB",'Q4 Assumptions'!$B$85:$B$133,"&gt;="&amp;F$10,'Q4 Assumptions'!$B$85:$B$133,"&lt;="&amp;F$11)+SUMIFS('Q4 Assumptions'!$C$85:$C$133,'Q4 Assumptions'!$E$85:$E$133,"RHB",'Q4 Assumptions'!$F$85:$F$133,"Y",'Q4 Assumptions'!$B$85:$B$133,"&gt;="&amp;F$10,'Q4 Assumptions'!$B$85:$B$133,"&lt;="&amp;F$11)*'Q4 Assumptions'!$B$15*F84</f>
        <v/>
      </c>
      <c r="G95" s="85">
        <f>SUMIFS('Q4 Assumptions'!$C$85:$C$133,'Q4 Assumptions'!$E$85:$E$133,"RHB",'Q4 Assumptions'!$B$85:$B$133,"&gt;="&amp;G$10,'Q4 Assumptions'!$B$85:$B$133,"&lt;="&amp;G$11)+SUMIFS('Q4 Assumptions'!$C$85:$C$133,'Q4 Assumptions'!$E$85:$E$133,"RHB",'Q4 Assumptions'!$F$85:$F$133,"Y",'Q4 Assumptions'!$B$85:$B$133,"&gt;="&amp;G$10,'Q4 Assumptions'!$B$85:$B$133,"&lt;="&amp;G$11)*'Q4 Assumptions'!$B$15*G84</f>
        <v/>
      </c>
      <c r="H95" s="85">
        <f>SUMIFS('Q4 Assumptions'!$C$85:$C$133,'Q4 Assumptions'!$E$85:$E$133,"RHB",'Q4 Assumptions'!$B$85:$B$133,"&gt;="&amp;H$10,'Q4 Assumptions'!$B$85:$B$133,"&lt;="&amp;H$11)+SUMIFS('Q4 Assumptions'!$C$85:$C$133,'Q4 Assumptions'!$E$85:$E$133,"RHB",'Q4 Assumptions'!$F$85:$F$133,"Y",'Q4 Assumptions'!$B$85:$B$133,"&gt;="&amp;H$10,'Q4 Assumptions'!$B$85:$B$133,"&lt;="&amp;H$11)*'Q4 Assumptions'!$B$15*H84</f>
        <v/>
      </c>
      <c r="I95" s="85">
        <f>SUMIFS('Q4 Assumptions'!$C$85:$C$133,'Q4 Assumptions'!$E$85:$E$133,"RHB",'Q4 Assumptions'!$B$85:$B$133,"&gt;="&amp;I$10,'Q4 Assumptions'!$B$85:$B$133,"&lt;="&amp;I$11)+SUMIFS('Q4 Assumptions'!$C$85:$C$133,'Q4 Assumptions'!$E$85:$E$133,"RHB",'Q4 Assumptions'!$F$85:$F$133,"Y",'Q4 Assumptions'!$B$85:$B$133,"&gt;="&amp;I$10,'Q4 Assumptions'!$B$85:$B$133,"&lt;="&amp;I$11)*'Q4 Assumptions'!$B$15*I84</f>
        <v/>
      </c>
      <c r="J95" s="85">
        <f>SUMIFS('Q4 Assumptions'!$C$85:$C$133,'Q4 Assumptions'!$E$85:$E$133,"RHB",'Q4 Assumptions'!$B$85:$B$133,"&gt;="&amp;J$10,'Q4 Assumptions'!$B$85:$B$133,"&lt;="&amp;J$11)+SUMIFS('Q4 Assumptions'!$C$85:$C$133,'Q4 Assumptions'!$E$85:$E$133,"RHB",'Q4 Assumptions'!$F$85:$F$133,"Y",'Q4 Assumptions'!$B$85:$B$133,"&gt;="&amp;J$10,'Q4 Assumptions'!$B$85:$B$133,"&lt;="&amp;J$11)*'Q4 Assumptions'!$B$15*J84</f>
        <v/>
      </c>
      <c r="K95" s="85">
        <f>SUMIFS('Q4 Assumptions'!$C$85:$C$133,'Q4 Assumptions'!$E$85:$E$133,"RHB",'Q4 Assumptions'!$B$85:$B$133,"&gt;="&amp;K$10,'Q4 Assumptions'!$B$85:$B$133,"&lt;="&amp;K$11)+SUMIFS('Q4 Assumptions'!$C$85:$C$133,'Q4 Assumptions'!$E$85:$E$133,"RHB",'Q4 Assumptions'!$F$85:$F$133,"Y",'Q4 Assumptions'!$B$85:$B$133,"&gt;="&amp;K$10,'Q4 Assumptions'!$B$85:$B$133,"&lt;="&amp;K$11)*'Q4 Assumptions'!$B$15*K84</f>
        <v/>
      </c>
      <c r="L95" s="85">
        <f>SUMIFS('Q4 Assumptions'!$C$85:$C$133,'Q4 Assumptions'!$E$85:$E$133,"RHB",'Q4 Assumptions'!$B$85:$B$133,"&gt;="&amp;L$10,'Q4 Assumptions'!$B$85:$B$133,"&lt;="&amp;L$11)+SUMIFS('Q4 Assumptions'!$C$85:$C$133,'Q4 Assumptions'!$E$85:$E$133,"RHB",'Q4 Assumptions'!$F$85:$F$133,"Y",'Q4 Assumptions'!$B$85:$B$133,"&gt;="&amp;L$10,'Q4 Assumptions'!$B$85:$B$133,"&lt;="&amp;L$11)*'Q4 Assumptions'!$B$15*L84</f>
        <v/>
      </c>
      <c r="M95" s="85">
        <f>SUMIFS('Q4 Assumptions'!$C$85:$C$133,'Q4 Assumptions'!$E$85:$E$133,"RHB",'Q4 Assumptions'!$B$85:$B$133,"&gt;="&amp;M$10,'Q4 Assumptions'!$B$85:$B$133,"&lt;="&amp;M$11)+SUMIFS('Q4 Assumptions'!$C$85:$C$133,'Q4 Assumptions'!$E$85:$E$133,"RHB",'Q4 Assumptions'!$F$85:$F$133,"Y",'Q4 Assumptions'!$B$85:$B$133,"&gt;="&amp;M$10,'Q4 Assumptions'!$B$85:$B$133,"&lt;="&amp;M$11)*'Q4 Assumptions'!$B$15*M84</f>
        <v/>
      </c>
      <c r="N95" s="85">
        <f>SUMIFS('Q4 Assumptions'!$C$85:$C$133,'Q4 Assumptions'!$E$85:$E$133,"RHB",'Q4 Assumptions'!$B$85:$B$133,"&gt;="&amp;N$10,'Q4 Assumptions'!$B$85:$B$133,"&lt;="&amp;N$11)+SUMIFS('Q4 Assumptions'!$C$85:$C$133,'Q4 Assumptions'!$E$85:$E$133,"RHB",'Q4 Assumptions'!$F$85:$F$133,"Y",'Q4 Assumptions'!$B$85:$B$133,"&gt;="&amp;N$10,'Q4 Assumptions'!$B$85:$B$133,"&lt;="&amp;N$11)*'Q4 Assumptions'!$B$15*N84</f>
        <v/>
      </c>
      <c r="O95" s="85">
        <f>SUMIFS('Q4 Assumptions'!$C$85:$C$133,'Q4 Assumptions'!$E$85:$E$133,"RHB",'Q4 Assumptions'!$B$85:$B$133,"&gt;="&amp;O$10,'Q4 Assumptions'!$B$85:$B$133,"&lt;="&amp;O$11)+SUMIFS('Q4 Assumptions'!$C$85:$C$133,'Q4 Assumptions'!$E$85:$E$133,"RHB",'Q4 Assumptions'!$F$85:$F$133,"Y",'Q4 Assumptions'!$B$85:$B$133,"&gt;="&amp;O$10,'Q4 Assumptions'!$B$85:$B$133,"&lt;="&amp;O$11)*'Q4 Assumptions'!$B$15*O84</f>
        <v/>
      </c>
      <c r="P95" s="85">
        <f>SUMIFS('Q4 Assumptions'!$C$85:$C$133,'Q4 Assumptions'!$E$85:$E$133,"RHB",'Q4 Assumptions'!$B$85:$B$133,"&gt;="&amp;P$10,'Q4 Assumptions'!$B$85:$B$133,"&lt;="&amp;P$11)+SUMIFS('Q4 Assumptions'!$C$85:$C$133,'Q4 Assumptions'!$E$85:$E$133,"RHB",'Q4 Assumptions'!$F$85:$F$133,"Y",'Q4 Assumptions'!$B$85:$B$133,"&gt;="&amp;P$10,'Q4 Assumptions'!$B$85:$B$133,"&lt;="&amp;P$11)*'Q4 Assumptions'!$B$15*P84</f>
        <v/>
      </c>
      <c r="Q95" s="85">
        <f>SUMIFS('Q4 Assumptions'!$C$85:$C$133,'Q4 Assumptions'!$E$85:$E$133,"RHB",'Q4 Assumptions'!$B$85:$B$133,"&gt;="&amp;Q$10,'Q4 Assumptions'!$B$85:$B$133,"&lt;="&amp;Q$11)+SUMIFS('Q4 Assumptions'!$C$85:$C$133,'Q4 Assumptions'!$E$85:$E$133,"RHB",'Q4 Assumptions'!$F$85:$F$133,"Y",'Q4 Assumptions'!$B$85:$B$133,"&gt;="&amp;Q$10,'Q4 Assumptions'!$B$85:$B$133,"&lt;="&amp;Q$11)*'Q4 Assumptions'!$B$15*Q84</f>
        <v/>
      </c>
      <c r="R95" s="93">
        <f>SUM(D95:Q95)</f>
        <v/>
      </c>
    </row>
    <row r="96">
      <c r="A96" s="56" t="inlineStr">
        <is>
          <t xml:space="preserve">   RHB balance before top-up</t>
        </is>
      </c>
      <c r="D96" s="85">
        <f>D93+D94+D95</f>
        <v/>
      </c>
      <c r="E96" s="85">
        <f>E93+E94+E95</f>
        <v/>
      </c>
      <c r="F96" s="85">
        <f>F93+F94+F95</f>
        <v/>
      </c>
      <c r="G96" s="85">
        <f>G93+G94+G95</f>
        <v/>
      </c>
      <c r="H96" s="85">
        <f>H93+H94+H95</f>
        <v/>
      </c>
      <c r="I96" s="85">
        <f>I93+I94+I95</f>
        <v/>
      </c>
      <c r="J96" s="85">
        <f>J93+J94+J95</f>
        <v/>
      </c>
      <c r="K96" s="85">
        <f>K93+K94+K95</f>
        <v/>
      </c>
      <c r="L96" s="85">
        <f>L93+L94+L95</f>
        <v/>
      </c>
      <c r="M96" s="85">
        <f>M93+M94+M95</f>
        <v/>
      </c>
      <c r="N96" s="85">
        <f>N93+N94+N95</f>
        <v/>
      </c>
      <c r="O96" s="85">
        <f>O93+O94+O95</f>
        <v/>
      </c>
      <c r="P96" s="85">
        <f>P93+P94+P95</f>
        <v/>
      </c>
      <c r="Q96" s="85">
        <f>Q93+Q94+Q95</f>
        <v/>
      </c>
    </row>
    <row r="97">
      <c r="A97" s="56" t="inlineStr">
        <is>
          <t xml:space="preserve">   Transfer Maybank → RHB</t>
        </is>
      </c>
      <c r="D97" s="85">
        <f>MAX(0,'Q4 Assumptions'!$B$29-D96)</f>
        <v/>
      </c>
      <c r="E97" s="85">
        <f>MAX(0,'Q4 Assumptions'!$B$29-E96)</f>
        <v/>
      </c>
      <c r="F97" s="85">
        <f>MAX(0,'Q4 Assumptions'!$B$29-F96)</f>
        <v/>
      </c>
      <c r="G97" s="85">
        <f>MAX(0,'Q4 Assumptions'!$B$29-G96)</f>
        <v/>
      </c>
      <c r="H97" s="85">
        <f>MAX(0,'Q4 Assumptions'!$B$29-H96)</f>
        <v/>
      </c>
      <c r="I97" s="85">
        <f>MAX(0,'Q4 Assumptions'!$B$29-I96)</f>
        <v/>
      </c>
      <c r="J97" s="85">
        <f>MAX(0,'Q4 Assumptions'!$B$29-J96)</f>
        <v/>
      </c>
      <c r="K97" s="85">
        <f>MAX(0,'Q4 Assumptions'!$B$29-K96)</f>
        <v/>
      </c>
      <c r="L97" s="85">
        <f>MAX(0,'Q4 Assumptions'!$B$29-L96)</f>
        <v/>
      </c>
      <c r="M97" s="85">
        <f>MAX(0,'Q4 Assumptions'!$B$29-M96)</f>
        <v/>
      </c>
      <c r="N97" s="85">
        <f>MAX(0,'Q4 Assumptions'!$B$29-N96)</f>
        <v/>
      </c>
      <c r="O97" s="85">
        <f>MAX(0,'Q4 Assumptions'!$B$29-O96)</f>
        <v/>
      </c>
      <c r="P97" s="85">
        <f>MAX(0,'Q4 Assumptions'!$B$29-P96)</f>
        <v/>
      </c>
      <c r="Q97" s="85">
        <f>MAX(0,'Q4 Assumptions'!$B$29-Q96)</f>
        <v/>
      </c>
      <c r="R97" s="93">
        <f>SUM(D97:Q97)</f>
        <v/>
      </c>
    </row>
    <row r="98">
      <c r="A98" s="54" t="inlineStr">
        <is>
          <t xml:space="preserve">   RHB closing balance</t>
        </is>
      </c>
      <c r="D98" s="93">
        <f>D96+D97</f>
        <v/>
      </c>
      <c r="E98" s="93">
        <f>E96+E97</f>
        <v/>
      </c>
      <c r="F98" s="93">
        <f>F96+F97</f>
        <v/>
      </c>
      <c r="G98" s="93">
        <f>G96+G97</f>
        <v/>
      </c>
      <c r="H98" s="93">
        <f>H96+H97</f>
        <v/>
      </c>
      <c r="I98" s="93">
        <f>I96+I97</f>
        <v/>
      </c>
      <c r="J98" s="93">
        <f>J96+J97</f>
        <v/>
      </c>
      <c r="K98" s="93">
        <f>K96+K97</f>
        <v/>
      </c>
      <c r="L98" s="93">
        <f>L96+L97</f>
        <v/>
      </c>
      <c r="M98" s="93">
        <f>M96+M97</f>
        <v/>
      </c>
      <c r="N98" s="93">
        <f>N96+N97</f>
        <v/>
      </c>
      <c r="O98" s="93">
        <f>O96+O97</f>
        <v/>
      </c>
      <c r="P98" s="93">
        <f>P96+P97</f>
        <v/>
      </c>
      <c r="Q98" s="93">
        <f>Q96+Q97</f>
        <v/>
      </c>
      <c r="R98" s="93">
        <f>Q98</f>
        <v/>
      </c>
    </row>
    <row r="99">
      <c r="A99" s="54" t="inlineStr">
        <is>
          <t xml:space="preserve">   Maybank closing balance</t>
        </is>
      </c>
      <c r="D99" s="93">
        <f>D77-D98</f>
        <v/>
      </c>
      <c r="E99" s="93">
        <f>E77-E98</f>
        <v/>
      </c>
      <c r="F99" s="93">
        <f>F77-F98</f>
        <v/>
      </c>
      <c r="G99" s="93">
        <f>G77-G98</f>
        <v/>
      </c>
      <c r="H99" s="93">
        <f>H77-H98</f>
        <v/>
      </c>
      <c r="I99" s="93">
        <f>I77-I98</f>
        <v/>
      </c>
      <c r="J99" s="93">
        <f>J77-J98</f>
        <v/>
      </c>
      <c r="K99" s="93">
        <f>K77-K98</f>
        <v/>
      </c>
      <c r="L99" s="93">
        <f>L77-L98</f>
        <v/>
      </c>
      <c r="M99" s="93">
        <f>M77-M98</f>
        <v/>
      </c>
      <c r="N99" s="93">
        <f>N77-N98</f>
        <v/>
      </c>
      <c r="O99" s="93">
        <f>O77-O98</f>
        <v/>
      </c>
      <c r="P99" s="93">
        <f>P77-P98</f>
        <v/>
      </c>
      <c r="Q99" s="93">
        <f>Q77-Q98</f>
        <v/>
      </c>
      <c r="R99" s="93">
        <f>Q99</f>
        <v/>
      </c>
    </row>
    <row r="101">
      <c r="A101" s="52" t="inlineStr">
        <is>
          <t>Check: Sept'26 column net vs statement −987,655.35 (should be 0)</t>
        </is>
      </c>
      <c r="C101" s="87">
        <f>ROUND(C74-(-987655.35),2)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75" t="inlineStr">
        <is>
          <t>New Outlet Schedule — sales and capex timing (Q4 2026)</t>
        </is>
      </c>
    </row>
    <row r="2">
      <c r="A2" s="52" t="inlineStr">
        <is>
          <t>Sales = RM/day × days open in the week (from grand-opening day). Capex balance paid on GO − lead days (not earlier than 1 Oct). ICOMSRWK excluded until GO date confirmed.</t>
        </is>
      </c>
    </row>
    <row r="3">
      <c r="H3" s="54" t="inlineStr">
        <is>
          <t>Week start</t>
        </is>
      </c>
      <c r="I3" s="92">
        <f>'Q4 Weekly Cash Flow'!D10</f>
        <v/>
      </c>
      <c r="J3" s="92">
        <f>'Q4 Weekly Cash Flow'!E10</f>
        <v/>
      </c>
      <c r="K3" s="92">
        <f>'Q4 Weekly Cash Flow'!F10</f>
        <v/>
      </c>
      <c r="L3" s="92">
        <f>'Q4 Weekly Cash Flow'!G10</f>
        <v/>
      </c>
      <c r="M3" s="92">
        <f>'Q4 Weekly Cash Flow'!H10</f>
        <v/>
      </c>
      <c r="N3" s="92">
        <f>'Q4 Weekly Cash Flow'!I10</f>
        <v/>
      </c>
      <c r="O3" s="92">
        <f>'Q4 Weekly Cash Flow'!J10</f>
        <v/>
      </c>
      <c r="P3" s="92">
        <f>'Q4 Weekly Cash Flow'!K10</f>
        <v/>
      </c>
      <c r="Q3" s="92">
        <f>'Q4 Weekly Cash Flow'!L10</f>
        <v/>
      </c>
      <c r="R3" s="92">
        <f>'Q4 Weekly Cash Flow'!M10</f>
        <v/>
      </c>
      <c r="S3" s="92">
        <f>'Q4 Weekly Cash Flow'!N10</f>
        <v/>
      </c>
      <c r="T3" s="92">
        <f>'Q4 Weekly Cash Flow'!O10</f>
        <v/>
      </c>
      <c r="U3" s="92">
        <f>'Q4 Weekly Cash Flow'!P10</f>
        <v/>
      </c>
      <c r="V3" s="92">
        <f>'Q4 Weekly Cash Flow'!Q10</f>
        <v/>
      </c>
    </row>
    <row r="4">
      <c r="H4" s="54" t="inlineStr">
        <is>
          <t>Week end</t>
        </is>
      </c>
      <c r="I4" s="92">
        <f>'Q4 Weekly Cash Flow'!D11</f>
        <v/>
      </c>
      <c r="J4" s="92">
        <f>'Q4 Weekly Cash Flow'!E11</f>
        <v/>
      </c>
      <c r="K4" s="92">
        <f>'Q4 Weekly Cash Flow'!F11</f>
        <v/>
      </c>
      <c r="L4" s="92">
        <f>'Q4 Weekly Cash Flow'!G11</f>
        <v/>
      </c>
      <c r="M4" s="92">
        <f>'Q4 Weekly Cash Flow'!H11</f>
        <v/>
      </c>
      <c r="N4" s="92">
        <f>'Q4 Weekly Cash Flow'!I11</f>
        <v/>
      </c>
      <c r="O4" s="92">
        <f>'Q4 Weekly Cash Flow'!J11</f>
        <v/>
      </c>
      <c r="P4" s="92">
        <f>'Q4 Weekly Cash Flow'!K11</f>
        <v/>
      </c>
      <c r="Q4" s="92">
        <f>'Q4 Weekly Cash Flow'!L11</f>
        <v/>
      </c>
      <c r="R4" s="92">
        <f>'Q4 Weekly Cash Flow'!M11</f>
        <v/>
      </c>
      <c r="S4" s="92">
        <f>'Q4 Weekly Cash Flow'!N11</f>
        <v/>
      </c>
      <c r="T4" s="92">
        <f>'Q4 Weekly Cash Flow'!O11</f>
        <v/>
      </c>
      <c r="U4" s="92">
        <f>'Q4 Weekly Cash Flow'!P11</f>
        <v/>
      </c>
      <c r="V4" s="92">
        <f>'Q4 Weekly Cash Flow'!Q11</f>
        <v/>
      </c>
    </row>
    <row r="5">
      <c r="A5" s="84" t="inlineStr">
        <is>
          <t>No.</t>
        </is>
      </c>
      <c r="B5" s="84" t="inlineStr">
        <is>
          <t>Project</t>
        </is>
      </c>
      <c r="C5" s="84" t="inlineStr">
        <is>
          <t>Grand Opening</t>
        </is>
      </c>
      <c r="D5" s="84" t="inlineStr">
        <is>
          <t>Capex (RM)</t>
        </is>
      </c>
      <c r="E5" s="84" t="inlineStr">
        <is>
          <t>Paid to 30 Sep</t>
        </is>
      </c>
      <c r="F5" s="84" t="inlineStr">
        <is>
          <t>Capex balance</t>
        </is>
      </c>
      <c r="G5" s="84" t="inlineStr">
        <is>
          <t>Capex pay date</t>
        </is>
      </c>
      <c r="H5" s="84" t="inlineStr">
        <is>
          <t>Sales/day</t>
        </is>
      </c>
      <c r="I5" s="84" t="inlineStr">
        <is>
          <t>Week 1</t>
        </is>
      </c>
      <c r="J5" s="84" t="inlineStr">
        <is>
          <t>Week 2</t>
        </is>
      </c>
      <c r="K5" s="84" t="inlineStr">
        <is>
          <t>Week 3</t>
        </is>
      </c>
      <c r="L5" s="84" t="inlineStr">
        <is>
          <t>Week 4</t>
        </is>
      </c>
      <c r="M5" s="84" t="inlineStr">
        <is>
          <t>Week 5</t>
        </is>
      </c>
      <c r="N5" s="84" t="inlineStr">
        <is>
          <t>Week 6</t>
        </is>
      </c>
      <c r="O5" s="84" t="inlineStr">
        <is>
          <t>Week 7</t>
        </is>
      </c>
      <c r="P5" s="84" t="inlineStr">
        <is>
          <t>Week 8</t>
        </is>
      </c>
      <c r="Q5" s="84" t="inlineStr">
        <is>
          <t>Week 9</t>
        </is>
      </c>
      <c r="R5" s="84" t="inlineStr">
        <is>
          <t>Week 10</t>
        </is>
      </c>
      <c r="S5" s="84" t="inlineStr">
        <is>
          <t>Week 11</t>
        </is>
      </c>
      <c r="T5" s="84" t="inlineStr">
        <is>
          <t>Week 12</t>
        </is>
      </c>
      <c r="U5" s="84" t="inlineStr">
        <is>
          <t>Week 13</t>
        </is>
      </c>
      <c r="V5" s="84" t="inlineStr">
        <is>
          <t>Week 14</t>
        </is>
      </c>
      <c r="W5" s="84" t="inlineStr">
        <is>
          <t>Q4 sales</t>
        </is>
      </c>
    </row>
    <row r="6">
      <c r="A6" s="67">
        <f>'Outlet Plan'!A2</f>
        <v/>
      </c>
      <c r="B6" s="117">
        <f>'Outlet Plan'!B2</f>
        <v/>
      </c>
      <c r="C6" s="92">
        <f>'Outlet Plan'!C2</f>
        <v/>
      </c>
      <c r="D6" s="58">
        <f>'Q4 Assumptions'!$B$19</f>
        <v/>
      </c>
      <c r="E6" s="58">
        <f>'Q4 Assumptions'!$B$21</f>
        <v/>
      </c>
      <c r="F6" s="57">
        <f>IF(ISNUMBER(C6),D6-E6,0)</f>
        <v/>
      </c>
      <c r="G6" s="66">
        <f>IF(ISNUMBER(C6),MAX(C6-'Q4 Assumptions'!$B$18,'Q4 Assumptions'!$B$5),"TBD")</f>
        <v/>
      </c>
      <c r="H6" s="58">
        <f>'Q4 Assumptions'!$B$13</f>
        <v/>
      </c>
      <c r="I6" s="57">
        <f>IF(ISNUMBER($C6),MAX(0,I$4-MAX(I$3,$C6)+1)*$H6,0)</f>
        <v/>
      </c>
      <c r="J6" s="57">
        <f>IF(ISNUMBER($C6),MAX(0,J$4-MAX(J$3,$C6)+1)*$H6,0)</f>
        <v/>
      </c>
      <c r="K6" s="57">
        <f>IF(ISNUMBER($C6),MAX(0,K$4-MAX(K$3,$C6)+1)*$H6,0)</f>
        <v/>
      </c>
      <c r="L6" s="57">
        <f>IF(ISNUMBER($C6),MAX(0,L$4-MAX(L$3,$C6)+1)*$H6,0)</f>
        <v/>
      </c>
      <c r="M6" s="57">
        <f>IF(ISNUMBER($C6),MAX(0,M$4-MAX(M$3,$C6)+1)*$H6,0)</f>
        <v/>
      </c>
      <c r="N6" s="57">
        <f>IF(ISNUMBER($C6),MAX(0,N$4-MAX(N$3,$C6)+1)*$H6,0)</f>
        <v/>
      </c>
      <c r="O6" s="57">
        <f>IF(ISNUMBER($C6),MAX(0,O$4-MAX(O$3,$C6)+1)*$H6,0)</f>
        <v/>
      </c>
      <c r="P6" s="57">
        <f>IF(ISNUMBER($C6),MAX(0,P$4-MAX(P$3,$C6)+1)*$H6,0)</f>
        <v/>
      </c>
      <c r="Q6" s="57">
        <f>IF(ISNUMBER($C6),MAX(0,Q$4-MAX(Q$3,$C6)+1)*$H6,0)</f>
        <v/>
      </c>
      <c r="R6" s="57">
        <f>IF(ISNUMBER($C6),MAX(0,R$4-MAX(R$3,$C6)+1)*$H6,0)</f>
        <v/>
      </c>
      <c r="S6" s="57">
        <f>IF(ISNUMBER($C6),MAX(0,S$4-MAX(S$3,$C6)+1)*$H6,0)</f>
        <v/>
      </c>
      <c r="T6" s="57">
        <f>IF(ISNUMBER($C6),MAX(0,T$4-MAX(T$3,$C6)+1)*$H6,0)</f>
        <v/>
      </c>
      <c r="U6" s="57">
        <f>IF(ISNUMBER($C6),MAX(0,U$4-MAX(U$3,$C6)+1)*$H6,0)</f>
        <v/>
      </c>
      <c r="V6" s="57">
        <f>IF(ISNUMBER($C6),MAX(0,V$4-MAX(V$3,$C6)+1)*$H6,0)</f>
        <v/>
      </c>
      <c r="W6" s="57">
        <f>SUM(I6:V6)</f>
        <v/>
      </c>
    </row>
    <row r="7">
      <c r="A7" s="67">
        <f>'Outlet Plan'!A3</f>
        <v/>
      </c>
      <c r="B7" s="117">
        <f>'Outlet Plan'!B3</f>
        <v/>
      </c>
      <c r="C7" s="92">
        <f>'Outlet Plan'!C3</f>
        <v/>
      </c>
      <c r="D7" s="58">
        <f>'Q4 Assumptions'!$B$19</f>
        <v/>
      </c>
      <c r="E7" s="58">
        <f>'Q4 Assumptions'!$B$22</f>
        <v/>
      </c>
      <c r="F7" s="57">
        <f>IF(ISNUMBER(C7),D7-E7,0)</f>
        <v/>
      </c>
      <c r="G7" s="66">
        <f>IF(ISNUMBER(C7),MAX(C7-'Q4 Assumptions'!$B$18,'Q4 Assumptions'!$B$5),"TBD")</f>
        <v/>
      </c>
      <c r="H7" s="58">
        <f>'Q4 Assumptions'!$B$13</f>
        <v/>
      </c>
      <c r="I7" s="57">
        <f>IF(ISNUMBER($C7),MAX(0,I$4-MAX(I$3,$C7)+1)*$H7,0)</f>
        <v/>
      </c>
      <c r="J7" s="57">
        <f>IF(ISNUMBER($C7),MAX(0,J$4-MAX(J$3,$C7)+1)*$H7,0)</f>
        <v/>
      </c>
      <c r="K7" s="57">
        <f>IF(ISNUMBER($C7),MAX(0,K$4-MAX(K$3,$C7)+1)*$H7,0)</f>
        <v/>
      </c>
      <c r="L7" s="57">
        <f>IF(ISNUMBER($C7),MAX(0,L$4-MAX(L$3,$C7)+1)*$H7,0)</f>
        <v/>
      </c>
      <c r="M7" s="57">
        <f>IF(ISNUMBER($C7),MAX(0,M$4-MAX(M$3,$C7)+1)*$H7,0)</f>
        <v/>
      </c>
      <c r="N7" s="57">
        <f>IF(ISNUMBER($C7),MAX(0,N$4-MAX(N$3,$C7)+1)*$H7,0)</f>
        <v/>
      </c>
      <c r="O7" s="57">
        <f>IF(ISNUMBER($C7),MAX(0,O$4-MAX(O$3,$C7)+1)*$H7,0)</f>
        <v/>
      </c>
      <c r="P7" s="57">
        <f>IF(ISNUMBER($C7),MAX(0,P$4-MAX(P$3,$C7)+1)*$H7,0)</f>
        <v/>
      </c>
      <c r="Q7" s="57">
        <f>IF(ISNUMBER($C7),MAX(0,Q$4-MAX(Q$3,$C7)+1)*$H7,0)</f>
        <v/>
      </c>
      <c r="R7" s="57">
        <f>IF(ISNUMBER($C7),MAX(0,R$4-MAX(R$3,$C7)+1)*$H7,0)</f>
        <v/>
      </c>
      <c r="S7" s="57">
        <f>IF(ISNUMBER($C7),MAX(0,S$4-MAX(S$3,$C7)+1)*$H7,0)</f>
        <v/>
      </c>
      <c r="T7" s="57">
        <f>IF(ISNUMBER($C7),MAX(0,T$4-MAX(T$3,$C7)+1)*$H7,0)</f>
        <v/>
      </c>
      <c r="U7" s="57">
        <f>IF(ISNUMBER($C7),MAX(0,U$4-MAX(U$3,$C7)+1)*$H7,0)</f>
        <v/>
      </c>
      <c r="V7" s="57">
        <f>IF(ISNUMBER($C7),MAX(0,V$4-MAX(V$3,$C7)+1)*$H7,0)</f>
        <v/>
      </c>
      <c r="W7" s="57">
        <f>SUM(I7:V7)</f>
        <v/>
      </c>
    </row>
    <row r="8">
      <c r="A8" s="67">
        <f>'Outlet Plan'!A4</f>
        <v/>
      </c>
      <c r="B8" s="117">
        <f>'Outlet Plan'!B4</f>
        <v/>
      </c>
      <c r="C8" s="92">
        <f>'Outlet Plan'!C4</f>
        <v/>
      </c>
      <c r="D8" s="58">
        <f>'Q4 Assumptions'!$B$19</f>
        <v/>
      </c>
      <c r="E8" s="58">
        <f>'Q4 Assumptions'!$B$23</f>
        <v/>
      </c>
      <c r="F8" s="57">
        <f>IF(ISNUMBER(C8),D8-E8,0)</f>
        <v/>
      </c>
      <c r="G8" s="66">
        <f>IF(ISNUMBER(C8),MAX(C8-'Q4 Assumptions'!$B$18,'Q4 Assumptions'!$B$5),"TBD")</f>
        <v/>
      </c>
      <c r="H8" s="58">
        <f>'Q4 Assumptions'!$B$13</f>
        <v/>
      </c>
      <c r="I8" s="57">
        <f>IF(ISNUMBER($C8),MAX(0,I$4-MAX(I$3,$C8)+1)*$H8,0)</f>
        <v/>
      </c>
      <c r="J8" s="57">
        <f>IF(ISNUMBER($C8),MAX(0,J$4-MAX(J$3,$C8)+1)*$H8,0)</f>
        <v/>
      </c>
      <c r="K8" s="57">
        <f>IF(ISNUMBER($C8),MAX(0,K$4-MAX(K$3,$C8)+1)*$H8,0)</f>
        <v/>
      </c>
      <c r="L8" s="57">
        <f>IF(ISNUMBER($C8),MAX(0,L$4-MAX(L$3,$C8)+1)*$H8,0)</f>
        <v/>
      </c>
      <c r="M8" s="57">
        <f>IF(ISNUMBER($C8),MAX(0,M$4-MAX(M$3,$C8)+1)*$H8,0)</f>
        <v/>
      </c>
      <c r="N8" s="57">
        <f>IF(ISNUMBER($C8),MAX(0,N$4-MAX(N$3,$C8)+1)*$H8,0)</f>
        <v/>
      </c>
      <c r="O8" s="57">
        <f>IF(ISNUMBER($C8),MAX(0,O$4-MAX(O$3,$C8)+1)*$H8,0)</f>
        <v/>
      </c>
      <c r="P8" s="57">
        <f>IF(ISNUMBER($C8),MAX(0,P$4-MAX(P$3,$C8)+1)*$H8,0)</f>
        <v/>
      </c>
      <c r="Q8" s="57">
        <f>IF(ISNUMBER($C8),MAX(0,Q$4-MAX(Q$3,$C8)+1)*$H8,0)</f>
        <v/>
      </c>
      <c r="R8" s="57">
        <f>IF(ISNUMBER($C8),MAX(0,R$4-MAX(R$3,$C8)+1)*$H8,0)</f>
        <v/>
      </c>
      <c r="S8" s="57">
        <f>IF(ISNUMBER($C8),MAX(0,S$4-MAX(S$3,$C8)+1)*$H8,0)</f>
        <v/>
      </c>
      <c r="T8" s="57">
        <f>IF(ISNUMBER($C8),MAX(0,T$4-MAX(T$3,$C8)+1)*$H8,0)</f>
        <v/>
      </c>
      <c r="U8" s="57">
        <f>IF(ISNUMBER($C8),MAX(0,U$4-MAX(U$3,$C8)+1)*$H8,0)</f>
        <v/>
      </c>
      <c r="V8" s="57">
        <f>IF(ISNUMBER($C8),MAX(0,V$4-MAX(V$3,$C8)+1)*$H8,0)</f>
        <v/>
      </c>
      <c r="W8" s="57">
        <f>SUM(I8:V8)</f>
        <v/>
      </c>
    </row>
    <row r="9">
      <c r="A9" s="67">
        <f>'Outlet Plan'!A5</f>
        <v/>
      </c>
      <c r="B9" s="117">
        <f>'Outlet Plan'!B5</f>
        <v/>
      </c>
      <c r="C9" s="92">
        <f>'Outlet Plan'!C5</f>
        <v/>
      </c>
      <c r="D9" s="58">
        <f>'Q4 Assumptions'!$B$20</f>
        <v/>
      </c>
      <c r="E9" s="59" t="n">
        <v>0</v>
      </c>
      <c r="F9" s="57">
        <f>IF(ISNUMBER(C9),D9-E9,0)</f>
        <v/>
      </c>
      <c r="G9" s="66">
        <f>IF(ISNUMBER(C9),MAX(C9-'Q4 Assumptions'!$B$18,'Q4 Assumptions'!$B$5),"TBD")</f>
        <v/>
      </c>
      <c r="H9" s="58">
        <f>'Q4 Assumptions'!$B$13</f>
        <v/>
      </c>
      <c r="I9" s="57">
        <f>IF(ISNUMBER($C9),MAX(0,I$4-MAX(I$3,$C9)+1)*$H9,0)</f>
        <v/>
      </c>
      <c r="J9" s="57">
        <f>IF(ISNUMBER($C9),MAX(0,J$4-MAX(J$3,$C9)+1)*$H9,0)</f>
        <v/>
      </c>
      <c r="K9" s="57">
        <f>IF(ISNUMBER($C9),MAX(0,K$4-MAX(K$3,$C9)+1)*$H9,0)</f>
        <v/>
      </c>
      <c r="L9" s="57">
        <f>IF(ISNUMBER($C9),MAX(0,L$4-MAX(L$3,$C9)+1)*$H9,0)</f>
        <v/>
      </c>
      <c r="M9" s="57">
        <f>IF(ISNUMBER($C9),MAX(0,M$4-MAX(M$3,$C9)+1)*$H9,0)</f>
        <v/>
      </c>
      <c r="N9" s="57">
        <f>IF(ISNUMBER($C9),MAX(0,N$4-MAX(N$3,$C9)+1)*$H9,0)</f>
        <v/>
      </c>
      <c r="O9" s="57">
        <f>IF(ISNUMBER($C9),MAX(0,O$4-MAX(O$3,$C9)+1)*$H9,0)</f>
        <v/>
      </c>
      <c r="P9" s="57">
        <f>IF(ISNUMBER($C9),MAX(0,P$4-MAX(P$3,$C9)+1)*$H9,0)</f>
        <v/>
      </c>
      <c r="Q9" s="57">
        <f>IF(ISNUMBER($C9),MAX(0,Q$4-MAX(Q$3,$C9)+1)*$H9,0)</f>
        <v/>
      </c>
      <c r="R9" s="57">
        <f>IF(ISNUMBER($C9),MAX(0,R$4-MAX(R$3,$C9)+1)*$H9,0)</f>
        <v/>
      </c>
      <c r="S9" s="57">
        <f>IF(ISNUMBER($C9),MAX(0,S$4-MAX(S$3,$C9)+1)*$H9,0)</f>
        <v/>
      </c>
      <c r="T9" s="57">
        <f>IF(ISNUMBER($C9),MAX(0,T$4-MAX(T$3,$C9)+1)*$H9,0)</f>
        <v/>
      </c>
      <c r="U9" s="57">
        <f>IF(ISNUMBER($C9),MAX(0,U$4-MAX(U$3,$C9)+1)*$H9,0)</f>
        <v/>
      </c>
      <c r="V9" s="57">
        <f>IF(ISNUMBER($C9),MAX(0,V$4-MAX(V$3,$C9)+1)*$H9,0)</f>
        <v/>
      </c>
      <c r="W9" s="57">
        <f>SUM(I9:V9)</f>
        <v/>
      </c>
    </row>
    <row r="10">
      <c r="A10" s="67">
        <f>'Outlet Plan'!A6</f>
        <v/>
      </c>
      <c r="B10" s="117">
        <f>'Outlet Plan'!B6</f>
        <v/>
      </c>
      <c r="C10" s="92">
        <f>'Outlet Plan'!C6</f>
        <v/>
      </c>
      <c r="D10" s="58">
        <f>'Q4 Assumptions'!$B$20</f>
        <v/>
      </c>
      <c r="E10" s="59" t="n">
        <v>0</v>
      </c>
      <c r="F10" s="57">
        <f>IF(ISNUMBER(C10),D10-E10,0)</f>
        <v/>
      </c>
      <c r="G10" s="66">
        <f>IF(ISNUMBER(C10),MAX(C10-'Q4 Assumptions'!$B$18,'Q4 Assumptions'!$B$5),"TBD")</f>
        <v/>
      </c>
      <c r="H10" s="58">
        <f>'Q4 Assumptions'!$B$13</f>
        <v/>
      </c>
      <c r="I10" s="57">
        <f>IF(ISNUMBER($C10),MAX(0,I$4-MAX(I$3,$C10)+1)*$H10,0)</f>
        <v/>
      </c>
      <c r="J10" s="57">
        <f>IF(ISNUMBER($C10),MAX(0,J$4-MAX(J$3,$C10)+1)*$H10,0)</f>
        <v/>
      </c>
      <c r="K10" s="57">
        <f>IF(ISNUMBER($C10),MAX(0,K$4-MAX(K$3,$C10)+1)*$H10,0)</f>
        <v/>
      </c>
      <c r="L10" s="57">
        <f>IF(ISNUMBER($C10),MAX(0,L$4-MAX(L$3,$C10)+1)*$H10,0)</f>
        <v/>
      </c>
      <c r="M10" s="57">
        <f>IF(ISNUMBER($C10),MAX(0,M$4-MAX(M$3,$C10)+1)*$H10,0)</f>
        <v/>
      </c>
      <c r="N10" s="57">
        <f>IF(ISNUMBER($C10),MAX(0,N$4-MAX(N$3,$C10)+1)*$H10,0)</f>
        <v/>
      </c>
      <c r="O10" s="57">
        <f>IF(ISNUMBER($C10),MAX(0,O$4-MAX(O$3,$C10)+1)*$H10,0)</f>
        <v/>
      </c>
      <c r="P10" s="57">
        <f>IF(ISNUMBER($C10),MAX(0,P$4-MAX(P$3,$C10)+1)*$H10,0)</f>
        <v/>
      </c>
      <c r="Q10" s="57">
        <f>IF(ISNUMBER($C10),MAX(0,Q$4-MAX(Q$3,$C10)+1)*$H10,0)</f>
        <v/>
      </c>
      <c r="R10" s="57">
        <f>IF(ISNUMBER($C10),MAX(0,R$4-MAX(R$3,$C10)+1)*$H10,0)</f>
        <v/>
      </c>
      <c r="S10" s="57">
        <f>IF(ISNUMBER($C10),MAX(0,S$4-MAX(S$3,$C10)+1)*$H10,0)</f>
        <v/>
      </c>
      <c r="T10" s="57">
        <f>IF(ISNUMBER($C10),MAX(0,T$4-MAX(T$3,$C10)+1)*$H10,0)</f>
        <v/>
      </c>
      <c r="U10" s="57">
        <f>IF(ISNUMBER($C10),MAX(0,U$4-MAX(U$3,$C10)+1)*$H10,0)</f>
        <v/>
      </c>
      <c r="V10" s="57">
        <f>IF(ISNUMBER($C10),MAX(0,V$4-MAX(V$3,$C10)+1)*$H10,0)</f>
        <v/>
      </c>
      <c r="W10" s="57">
        <f>SUM(I10:V10)</f>
        <v/>
      </c>
    </row>
    <row r="11">
      <c r="A11" s="67">
        <f>'Outlet Plan'!A7</f>
        <v/>
      </c>
      <c r="B11" s="117">
        <f>'Outlet Plan'!B7</f>
        <v/>
      </c>
      <c r="C11" s="92">
        <f>'Outlet Plan'!C7</f>
        <v/>
      </c>
      <c r="D11" s="58">
        <f>'Q4 Assumptions'!$B$20</f>
        <v/>
      </c>
      <c r="E11" s="59" t="n">
        <v>0</v>
      </c>
      <c r="F11" s="57">
        <f>IF(ISNUMBER(C11),D11-E11,0)</f>
        <v/>
      </c>
      <c r="G11" s="66">
        <f>IF(ISNUMBER(C11),MAX(C11-'Q4 Assumptions'!$B$18,'Q4 Assumptions'!$B$5),"TBD")</f>
        <v/>
      </c>
      <c r="H11" s="58">
        <f>'Q4 Assumptions'!$B$13</f>
        <v/>
      </c>
      <c r="I11" s="57">
        <f>IF(ISNUMBER($C11),MAX(0,I$4-MAX(I$3,$C11)+1)*$H11,0)</f>
        <v/>
      </c>
      <c r="J11" s="57">
        <f>IF(ISNUMBER($C11),MAX(0,J$4-MAX(J$3,$C11)+1)*$H11,0)</f>
        <v/>
      </c>
      <c r="K11" s="57">
        <f>IF(ISNUMBER($C11),MAX(0,K$4-MAX(K$3,$C11)+1)*$H11,0)</f>
        <v/>
      </c>
      <c r="L11" s="57">
        <f>IF(ISNUMBER($C11),MAX(0,L$4-MAX(L$3,$C11)+1)*$H11,0)</f>
        <v/>
      </c>
      <c r="M11" s="57">
        <f>IF(ISNUMBER($C11),MAX(0,M$4-MAX(M$3,$C11)+1)*$H11,0)</f>
        <v/>
      </c>
      <c r="N11" s="57">
        <f>IF(ISNUMBER($C11),MAX(0,N$4-MAX(N$3,$C11)+1)*$H11,0)</f>
        <v/>
      </c>
      <c r="O11" s="57">
        <f>IF(ISNUMBER($C11),MAX(0,O$4-MAX(O$3,$C11)+1)*$H11,0)</f>
        <v/>
      </c>
      <c r="P11" s="57">
        <f>IF(ISNUMBER($C11),MAX(0,P$4-MAX(P$3,$C11)+1)*$H11,0)</f>
        <v/>
      </c>
      <c r="Q11" s="57">
        <f>IF(ISNUMBER($C11),MAX(0,Q$4-MAX(Q$3,$C11)+1)*$H11,0)</f>
        <v/>
      </c>
      <c r="R11" s="57">
        <f>IF(ISNUMBER($C11),MAX(0,R$4-MAX(R$3,$C11)+1)*$H11,0)</f>
        <v/>
      </c>
      <c r="S11" s="57">
        <f>IF(ISNUMBER($C11),MAX(0,S$4-MAX(S$3,$C11)+1)*$H11,0)</f>
        <v/>
      </c>
      <c r="T11" s="57">
        <f>IF(ISNUMBER($C11),MAX(0,T$4-MAX(T$3,$C11)+1)*$H11,0)</f>
        <v/>
      </c>
      <c r="U11" s="57">
        <f>IF(ISNUMBER($C11),MAX(0,U$4-MAX(U$3,$C11)+1)*$H11,0)</f>
        <v/>
      </c>
      <c r="V11" s="57">
        <f>IF(ISNUMBER($C11),MAX(0,V$4-MAX(V$3,$C11)+1)*$H11,0)</f>
        <v/>
      </c>
      <c r="W11" s="57">
        <f>SUM(I11:V11)</f>
        <v/>
      </c>
    </row>
    <row r="12">
      <c r="A12" s="67">
        <f>'Outlet Plan'!A8</f>
        <v/>
      </c>
      <c r="B12" s="117">
        <f>'Outlet Plan'!B8</f>
        <v/>
      </c>
      <c r="C12" s="92">
        <f>'Outlet Plan'!C8</f>
        <v/>
      </c>
      <c r="D12" s="58">
        <f>'Q4 Assumptions'!$B$20</f>
        <v/>
      </c>
      <c r="E12" s="59" t="n">
        <v>0</v>
      </c>
      <c r="F12" s="57">
        <f>IF(ISNUMBER(C12),D12-E12,0)</f>
        <v/>
      </c>
      <c r="G12" s="66">
        <f>IF(ISNUMBER(C12),MAX(C12-'Q4 Assumptions'!$B$18,'Q4 Assumptions'!$B$5),"TBD")</f>
        <v/>
      </c>
      <c r="H12" s="58">
        <f>'Q4 Assumptions'!$B$13</f>
        <v/>
      </c>
      <c r="I12" s="57">
        <f>IF(ISNUMBER($C12),MAX(0,I$4-MAX(I$3,$C12)+1)*$H12,0)</f>
        <v/>
      </c>
      <c r="J12" s="57">
        <f>IF(ISNUMBER($C12),MAX(0,J$4-MAX(J$3,$C12)+1)*$H12,0)</f>
        <v/>
      </c>
      <c r="K12" s="57">
        <f>IF(ISNUMBER($C12),MAX(0,K$4-MAX(K$3,$C12)+1)*$H12,0)</f>
        <v/>
      </c>
      <c r="L12" s="57">
        <f>IF(ISNUMBER($C12),MAX(0,L$4-MAX(L$3,$C12)+1)*$H12,0)</f>
        <v/>
      </c>
      <c r="M12" s="57">
        <f>IF(ISNUMBER($C12),MAX(0,M$4-MAX(M$3,$C12)+1)*$H12,0)</f>
        <v/>
      </c>
      <c r="N12" s="57">
        <f>IF(ISNUMBER($C12),MAX(0,N$4-MAX(N$3,$C12)+1)*$H12,0)</f>
        <v/>
      </c>
      <c r="O12" s="57">
        <f>IF(ISNUMBER($C12),MAX(0,O$4-MAX(O$3,$C12)+1)*$H12,0)</f>
        <v/>
      </c>
      <c r="P12" s="57">
        <f>IF(ISNUMBER($C12),MAX(0,P$4-MAX(P$3,$C12)+1)*$H12,0)</f>
        <v/>
      </c>
      <c r="Q12" s="57">
        <f>IF(ISNUMBER($C12),MAX(0,Q$4-MAX(Q$3,$C12)+1)*$H12,0)</f>
        <v/>
      </c>
      <c r="R12" s="57">
        <f>IF(ISNUMBER($C12),MAX(0,R$4-MAX(R$3,$C12)+1)*$H12,0)</f>
        <v/>
      </c>
      <c r="S12" s="57">
        <f>IF(ISNUMBER($C12),MAX(0,S$4-MAX(S$3,$C12)+1)*$H12,0)</f>
        <v/>
      </c>
      <c r="T12" s="57">
        <f>IF(ISNUMBER($C12),MAX(0,T$4-MAX(T$3,$C12)+1)*$H12,0)</f>
        <v/>
      </c>
      <c r="U12" s="57">
        <f>IF(ISNUMBER($C12),MAX(0,U$4-MAX(U$3,$C12)+1)*$H12,0)</f>
        <v/>
      </c>
      <c r="V12" s="57">
        <f>IF(ISNUMBER($C12),MAX(0,V$4-MAX(V$3,$C12)+1)*$H12,0)</f>
        <v/>
      </c>
      <c r="W12" s="57">
        <f>SUM(I12:V12)</f>
        <v/>
      </c>
    </row>
    <row r="13">
      <c r="A13" s="67">
        <f>'Outlet Plan'!A9</f>
        <v/>
      </c>
      <c r="B13" s="117">
        <f>'Outlet Plan'!B9</f>
        <v/>
      </c>
      <c r="C13" s="92">
        <f>'Outlet Plan'!C9</f>
        <v/>
      </c>
      <c r="D13" s="58">
        <f>'Q4 Assumptions'!$B$20</f>
        <v/>
      </c>
      <c r="E13" s="59" t="n">
        <v>0</v>
      </c>
      <c r="F13" s="57">
        <f>IF(ISNUMBER(C13),D13-E13,0)</f>
        <v/>
      </c>
      <c r="G13" s="66">
        <f>IF(ISNUMBER(C13),MAX(C13-'Q4 Assumptions'!$B$18,'Q4 Assumptions'!$B$5),"TBD")</f>
        <v/>
      </c>
      <c r="H13" s="58">
        <f>'Q4 Assumptions'!$B$13</f>
        <v/>
      </c>
      <c r="I13" s="57">
        <f>IF(ISNUMBER($C13),MAX(0,I$4-MAX(I$3,$C13)+1)*$H13,0)</f>
        <v/>
      </c>
      <c r="J13" s="57">
        <f>IF(ISNUMBER($C13),MAX(0,J$4-MAX(J$3,$C13)+1)*$H13,0)</f>
        <v/>
      </c>
      <c r="K13" s="57">
        <f>IF(ISNUMBER($C13),MAX(0,K$4-MAX(K$3,$C13)+1)*$H13,0)</f>
        <v/>
      </c>
      <c r="L13" s="57">
        <f>IF(ISNUMBER($C13),MAX(0,L$4-MAX(L$3,$C13)+1)*$H13,0)</f>
        <v/>
      </c>
      <c r="M13" s="57">
        <f>IF(ISNUMBER($C13),MAX(0,M$4-MAX(M$3,$C13)+1)*$H13,0)</f>
        <v/>
      </c>
      <c r="N13" s="57">
        <f>IF(ISNUMBER($C13),MAX(0,N$4-MAX(N$3,$C13)+1)*$H13,0)</f>
        <v/>
      </c>
      <c r="O13" s="57">
        <f>IF(ISNUMBER($C13),MAX(0,O$4-MAX(O$3,$C13)+1)*$H13,0)</f>
        <v/>
      </c>
      <c r="P13" s="57">
        <f>IF(ISNUMBER($C13),MAX(0,P$4-MAX(P$3,$C13)+1)*$H13,0)</f>
        <v/>
      </c>
      <c r="Q13" s="57">
        <f>IF(ISNUMBER($C13),MAX(0,Q$4-MAX(Q$3,$C13)+1)*$H13,0)</f>
        <v/>
      </c>
      <c r="R13" s="57">
        <f>IF(ISNUMBER($C13),MAX(0,R$4-MAX(R$3,$C13)+1)*$H13,0)</f>
        <v/>
      </c>
      <c r="S13" s="57">
        <f>IF(ISNUMBER($C13),MAX(0,S$4-MAX(S$3,$C13)+1)*$H13,0)</f>
        <v/>
      </c>
      <c r="T13" s="57">
        <f>IF(ISNUMBER($C13),MAX(0,T$4-MAX(T$3,$C13)+1)*$H13,0)</f>
        <v/>
      </c>
      <c r="U13" s="57">
        <f>IF(ISNUMBER($C13),MAX(0,U$4-MAX(U$3,$C13)+1)*$H13,0)</f>
        <v/>
      </c>
      <c r="V13" s="57">
        <f>IF(ISNUMBER($C13),MAX(0,V$4-MAX(V$3,$C13)+1)*$H13,0)</f>
        <v/>
      </c>
      <c r="W13" s="57">
        <f>SUM(I13:V13)</f>
        <v/>
      </c>
    </row>
    <row r="14">
      <c r="A14" s="67">
        <f>'Outlet Plan'!A10</f>
        <v/>
      </c>
      <c r="B14" s="117">
        <f>'Outlet Plan'!B10</f>
        <v/>
      </c>
      <c r="C14" s="92">
        <f>'Outlet Plan'!C10</f>
        <v/>
      </c>
      <c r="D14" s="58">
        <f>'Q4 Assumptions'!$B$20</f>
        <v/>
      </c>
      <c r="E14" s="59" t="n">
        <v>0</v>
      </c>
      <c r="F14" s="57">
        <f>IF(ISNUMBER(C14),D14-E14,0)</f>
        <v/>
      </c>
      <c r="G14" s="66">
        <f>IF(ISNUMBER(C14),MAX(C14-'Q4 Assumptions'!$B$18,'Q4 Assumptions'!$B$5),"TBD")</f>
        <v/>
      </c>
      <c r="H14" s="58">
        <f>'Q4 Assumptions'!$B$13</f>
        <v/>
      </c>
      <c r="I14" s="57">
        <f>IF(ISNUMBER($C14),MAX(0,I$4-MAX(I$3,$C14)+1)*$H14,0)</f>
        <v/>
      </c>
      <c r="J14" s="57">
        <f>IF(ISNUMBER($C14),MAX(0,J$4-MAX(J$3,$C14)+1)*$H14,0)</f>
        <v/>
      </c>
      <c r="K14" s="57">
        <f>IF(ISNUMBER($C14),MAX(0,K$4-MAX(K$3,$C14)+1)*$H14,0)</f>
        <v/>
      </c>
      <c r="L14" s="57">
        <f>IF(ISNUMBER($C14),MAX(0,L$4-MAX(L$3,$C14)+1)*$H14,0)</f>
        <v/>
      </c>
      <c r="M14" s="57">
        <f>IF(ISNUMBER($C14),MAX(0,M$4-MAX(M$3,$C14)+1)*$H14,0)</f>
        <v/>
      </c>
      <c r="N14" s="57">
        <f>IF(ISNUMBER($C14),MAX(0,N$4-MAX(N$3,$C14)+1)*$H14,0)</f>
        <v/>
      </c>
      <c r="O14" s="57">
        <f>IF(ISNUMBER($C14),MAX(0,O$4-MAX(O$3,$C14)+1)*$H14,0)</f>
        <v/>
      </c>
      <c r="P14" s="57">
        <f>IF(ISNUMBER($C14),MAX(0,P$4-MAX(P$3,$C14)+1)*$H14,0)</f>
        <v/>
      </c>
      <c r="Q14" s="57">
        <f>IF(ISNUMBER($C14),MAX(0,Q$4-MAX(Q$3,$C14)+1)*$H14,0)</f>
        <v/>
      </c>
      <c r="R14" s="57">
        <f>IF(ISNUMBER($C14),MAX(0,R$4-MAX(R$3,$C14)+1)*$H14,0)</f>
        <v/>
      </c>
      <c r="S14" s="57">
        <f>IF(ISNUMBER($C14),MAX(0,S$4-MAX(S$3,$C14)+1)*$H14,0)</f>
        <v/>
      </c>
      <c r="T14" s="57">
        <f>IF(ISNUMBER($C14),MAX(0,T$4-MAX(T$3,$C14)+1)*$H14,0)</f>
        <v/>
      </c>
      <c r="U14" s="57">
        <f>IF(ISNUMBER($C14),MAX(0,U$4-MAX(U$3,$C14)+1)*$H14,0)</f>
        <v/>
      </c>
      <c r="V14" s="57">
        <f>IF(ISNUMBER($C14),MAX(0,V$4-MAX(V$3,$C14)+1)*$H14,0)</f>
        <v/>
      </c>
      <c r="W14" s="57">
        <f>SUM(I14:V14)</f>
        <v/>
      </c>
    </row>
    <row r="15">
      <c r="A15" s="67">
        <f>'Outlet Plan'!A11</f>
        <v/>
      </c>
      <c r="B15" s="117">
        <f>'Outlet Plan'!B11</f>
        <v/>
      </c>
      <c r="C15" s="92">
        <f>'Outlet Plan'!C11</f>
        <v/>
      </c>
      <c r="D15" s="58">
        <f>'Q4 Assumptions'!$B$20</f>
        <v/>
      </c>
      <c r="E15" s="59" t="n">
        <v>0</v>
      </c>
      <c r="F15" s="57">
        <f>IF(ISNUMBER(C15),D15-E15,0)</f>
        <v/>
      </c>
      <c r="G15" s="66">
        <f>IF(ISNUMBER(C15),MAX(C15-'Q4 Assumptions'!$B$18,'Q4 Assumptions'!$B$5),"TBD")</f>
        <v/>
      </c>
      <c r="H15" s="58">
        <f>'Q4 Assumptions'!$B$13</f>
        <v/>
      </c>
      <c r="I15" s="57">
        <f>IF(ISNUMBER($C15),MAX(0,I$4-MAX(I$3,$C15)+1)*$H15,0)</f>
        <v/>
      </c>
      <c r="J15" s="57">
        <f>IF(ISNUMBER($C15),MAX(0,J$4-MAX(J$3,$C15)+1)*$H15,0)</f>
        <v/>
      </c>
      <c r="K15" s="57">
        <f>IF(ISNUMBER($C15),MAX(0,K$4-MAX(K$3,$C15)+1)*$H15,0)</f>
        <v/>
      </c>
      <c r="L15" s="57">
        <f>IF(ISNUMBER($C15),MAX(0,L$4-MAX(L$3,$C15)+1)*$H15,0)</f>
        <v/>
      </c>
      <c r="M15" s="57">
        <f>IF(ISNUMBER($C15),MAX(0,M$4-MAX(M$3,$C15)+1)*$H15,0)</f>
        <v/>
      </c>
      <c r="N15" s="57">
        <f>IF(ISNUMBER($C15),MAX(0,N$4-MAX(N$3,$C15)+1)*$H15,0)</f>
        <v/>
      </c>
      <c r="O15" s="57">
        <f>IF(ISNUMBER($C15),MAX(0,O$4-MAX(O$3,$C15)+1)*$H15,0)</f>
        <v/>
      </c>
      <c r="P15" s="57">
        <f>IF(ISNUMBER($C15),MAX(0,P$4-MAX(P$3,$C15)+1)*$H15,0)</f>
        <v/>
      </c>
      <c r="Q15" s="57">
        <f>IF(ISNUMBER($C15),MAX(0,Q$4-MAX(Q$3,$C15)+1)*$H15,0)</f>
        <v/>
      </c>
      <c r="R15" s="57">
        <f>IF(ISNUMBER($C15),MAX(0,R$4-MAX(R$3,$C15)+1)*$H15,0)</f>
        <v/>
      </c>
      <c r="S15" s="57">
        <f>IF(ISNUMBER($C15),MAX(0,S$4-MAX(S$3,$C15)+1)*$H15,0)</f>
        <v/>
      </c>
      <c r="T15" s="57">
        <f>IF(ISNUMBER($C15),MAX(0,T$4-MAX(T$3,$C15)+1)*$H15,0)</f>
        <v/>
      </c>
      <c r="U15" s="57">
        <f>IF(ISNUMBER($C15),MAX(0,U$4-MAX(U$3,$C15)+1)*$H15,0)</f>
        <v/>
      </c>
      <c r="V15" s="57">
        <f>IF(ISNUMBER($C15),MAX(0,V$4-MAX(V$3,$C15)+1)*$H15,0)</f>
        <v/>
      </c>
      <c r="W15" s="57">
        <f>SUM(I15:V15)</f>
        <v/>
      </c>
    </row>
    <row r="16">
      <c r="A16" s="67">
        <f>'Outlet Plan'!A12</f>
        <v/>
      </c>
      <c r="B16" s="117">
        <f>'Outlet Plan'!B12</f>
        <v/>
      </c>
      <c r="C16" s="92">
        <f>'Outlet Plan'!C12</f>
        <v/>
      </c>
      <c r="D16" s="58">
        <f>'Q4 Assumptions'!$B$20</f>
        <v/>
      </c>
      <c r="E16" s="59" t="n">
        <v>0</v>
      </c>
      <c r="F16" s="57">
        <f>IF(ISNUMBER(C16),D16-E16,0)</f>
        <v/>
      </c>
      <c r="G16" s="66">
        <f>IF(ISNUMBER(C16),MAX(C16-'Q4 Assumptions'!$B$18,'Q4 Assumptions'!$B$5),"TBD")</f>
        <v/>
      </c>
      <c r="H16" s="58">
        <f>'Q4 Assumptions'!$B$13</f>
        <v/>
      </c>
      <c r="I16" s="57">
        <f>IF(ISNUMBER($C16),MAX(0,I$4-MAX(I$3,$C16)+1)*$H16,0)</f>
        <v/>
      </c>
      <c r="J16" s="57">
        <f>IF(ISNUMBER($C16),MAX(0,J$4-MAX(J$3,$C16)+1)*$H16,0)</f>
        <v/>
      </c>
      <c r="K16" s="57">
        <f>IF(ISNUMBER($C16),MAX(0,K$4-MAX(K$3,$C16)+1)*$H16,0)</f>
        <v/>
      </c>
      <c r="L16" s="57">
        <f>IF(ISNUMBER($C16),MAX(0,L$4-MAX(L$3,$C16)+1)*$H16,0)</f>
        <v/>
      </c>
      <c r="M16" s="57">
        <f>IF(ISNUMBER($C16),MAX(0,M$4-MAX(M$3,$C16)+1)*$H16,0)</f>
        <v/>
      </c>
      <c r="N16" s="57">
        <f>IF(ISNUMBER($C16),MAX(0,N$4-MAX(N$3,$C16)+1)*$H16,0)</f>
        <v/>
      </c>
      <c r="O16" s="57">
        <f>IF(ISNUMBER($C16),MAX(0,O$4-MAX(O$3,$C16)+1)*$H16,0)</f>
        <v/>
      </c>
      <c r="P16" s="57">
        <f>IF(ISNUMBER($C16),MAX(0,P$4-MAX(P$3,$C16)+1)*$H16,0)</f>
        <v/>
      </c>
      <c r="Q16" s="57">
        <f>IF(ISNUMBER($C16),MAX(0,Q$4-MAX(Q$3,$C16)+1)*$H16,0)</f>
        <v/>
      </c>
      <c r="R16" s="57">
        <f>IF(ISNUMBER($C16),MAX(0,R$4-MAX(R$3,$C16)+1)*$H16,0)</f>
        <v/>
      </c>
      <c r="S16" s="57">
        <f>IF(ISNUMBER($C16),MAX(0,S$4-MAX(S$3,$C16)+1)*$H16,0)</f>
        <v/>
      </c>
      <c r="T16" s="57">
        <f>IF(ISNUMBER($C16),MAX(0,T$4-MAX(T$3,$C16)+1)*$H16,0)</f>
        <v/>
      </c>
      <c r="U16" s="57">
        <f>IF(ISNUMBER($C16),MAX(0,U$4-MAX(U$3,$C16)+1)*$H16,0)</f>
        <v/>
      </c>
      <c r="V16" s="57">
        <f>IF(ISNUMBER($C16),MAX(0,V$4-MAX(V$3,$C16)+1)*$H16,0)</f>
        <v/>
      </c>
      <c r="W16" s="57">
        <f>SUM(I16:V16)</f>
        <v/>
      </c>
    </row>
    <row r="17">
      <c r="A17" s="67">
        <f>'Outlet Plan'!A13</f>
        <v/>
      </c>
      <c r="B17" s="117">
        <f>'Outlet Plan'!B13</f>
        <v/>
      </c>
      <c r="C17" s="92">
        <f>'Outlet Plan'!C13</f>
        <v/>
      </c>
      <c r="D17" s="58">
        <f>'Q4 Assumptions'!$B$20</f>
        <v/>
      </c>
      <c r="E17" s="59" t="n">
        <v>0</v>
      </c>
      <c r="F17" s="57">
        <f>IF(ISNUMBER(C17),D17-E17,0)</f>
        <v/>
      </c>
      <c r="G17" s="66">
        <f>IF(ISNUMBER(C17),MAX(C17-'Q4 Assumptions'!$B$18,'Q4 Assumptions'!$B$5),"TBD")</f>
        <v/>
      </c>
      <c r="H17" s="58">
        <f>'Q4 Assumptions'!$B$13</f>
        <v/>
      </c>
      <c r="I17" s="57">
        <f>IF(ISNUMBER($C17),MAX(0,I$4-MAX(I$3,$C17)+1)*$H17,0)</f>
        <v/>
      </c>
      <c r="J17" s="57">
        <f>IF(ISNUMBER($C17),MAX(0,J$4-MAX(J$3,$C17)+1)*$H17,0)</f>
        <v/>
      </c>
      <c r="K17" s="57">
        <f>IF(ISNUMBER($C17),MAX(0,K$4-MAX(K$3,$C17)+1)*$H17,0)</f>
        <v/>
      </c>
      <c r="L17" s="57">
        <f>IF(ISNUMBER($C17),MAX(0,L$4-MAX(L$3,$C17)+1)*$H17,0)</f>
        <v/>
      </c>
      <c r="M17" s="57">
        <f>IF(ISNUMBER($C17),MAX(0,M$4-MAX(M$3,$C17)+1)*$H17,0)</f>
        <v/>
      </c>
      <c r="N17" s="57">
        <f>IF(ISNUMBER($C17),MAX(0,N$4-MAX(N$3,$C17)+1)*$H17,0)</f>
        <v/>
      </c>
      <c r="O17" s="57">
        <f>IF(ISNUMBER($C17),MAX(0,O$4-MAX(O$3,$C17)+1)*$H17,0)</f>
        <v/>
      </c>
      <c r="P17" s="57">
        <f>IF(ISNUMBER($C17),MAX(0,P$4-MAX(P$3,$C17)+1)*$H17,0)</f>
        <v/>
      </c>
      <c r="Q17" s="57">
        <f>IF(ISNUMBER($C17),MAX(0,Q$4-MAX(Q$3,$C17)+1)*$H17,0)</f>
        <v/>
      </c>
      <c r="R17" s="57">
        <f>IF(ISNUMBER($C17),MAX(0,R$4-MAX(R$3,$C17)+1)*$H17,0)</f>
        <v/>
      </c>
      <c r="S17" s="57">
        <f>IF(ISNUMBER($C17),MAX(0,S$4-MAX(S$3,$C17)+1)*$H17,0)</f>
        <v/>
      </c>
      <c r="T17" s="57">
        <f>IF(ISNUMBER($C17),MAX(0,T$4-MAX(T$3,$C17)+1)*$H17,0)</f>
        <v/>
      </c>
      <c r="U17" s="57">
        <f>IF(ISNUMBER($C17),MAX(0,U$4-MAX(U$3,$C17)+1)*$H17,0)</f>
        <v/>
      </c>
      <c r="V17" s="57">
        <f>IF(ISNUMBER($C17),MAX(0,V$4-MAX(V$3,$C17)+1)*$H17,0)</f>
        <v/>
      </c>
      <c r="W17" s="57">
        <f>SUM(I17:V17)</f>
        <v/>
      </c>
    </row>
    <row r="18">
      <c r="B18" s="54" t="inlineStr">
        <is>
          <t>Total</t>
        </is>
      </c>
      <c r="D18" s="118">
        <f>SUM(D6:D17)</f>
        <v/>
      </c>
      <c r="E18" s="118">
        <f>SUM(E6:E17)</f>
        <v/>
      </c>
      <c r="F18" s="118">
        <f>SUM(F6:F17)</f>
        <v/>
      </c>
      <c r="I18" s="118">
        <f>SUM(I6:I17)</f>
        <v/>
      </c>
      <c r="J18" s="118">
        <f>SUM(J6:J17)</f>
        <v/>
      </c>
      <c r="K18" s="118">
        <f>SUM(K6:K17)</f>
        <v/>
      </c>
      <c r="L18" s="118">
        <f>SUM(L6:L17)</f>
        <v/>
      </c>
      <c r="M18" s="118">
        <f>SUM(M6:M17)</f>
        <v/>
      </c>
      <c r="N18" s="118">
        <f>SUM(N6:N17)</f>
        <v/>
      </c>
      <c r="O18" s="118">
        <f>SUM(O6:O17)</f>
        <v/>
      </c>
      <c r="P18" s="118">
        <f>SUM(P6:P17)</f>
        <v/>
      </c>
      <c r="Q18" s="118">
        <f>SUM(Q6:Q17)</f>
        <v/>
      </c>
      <c r="R18" s="118">
        <f>SUM(R6:R17)</f>
        <v/>
      </c>
      <c r="S18" s="118">
        <f>SUM(S6:S17)</f>
        <v/>
      </c>
      <c r="T18" s="118">
        <f>SUM(T6:T17)</f>
        <v/>
      </c>
      <c r="U18" s="118">
        <f>SUM(U6:U17)</f>
        <v/>
      </c>
      <c r="V18" s="118">
        <f>SUM(V6:V17)</f>
        <v/>
      </c>
      <c r="W18" s="118">
        <f>SUM(W6:W17)</f>
        <v/>
      </c>
    </row>
    <row r="20">
      <c r="B20" s="56" t="inlineStr">
        <is>
          <t>New outlets opening 1 Oct–31 Dec</t>
        </is>
      </c>
      <c r="C20" s="119">
        <f>COUNTIFS(C6:C17,"&gt;="&amp;'Q4 Assumptions'!$B$5,C6:C17,"&lt;="&amp;'Q4 Assumptions'!$B$6)</f>
        <v/>
      </c>
    </row>
    <row r="21">
      <c r="B21" s="56" t="inlineStr">
        <is>
          <t>Outlets operating at 31 Dec</t>
        </is>
      </c>
      <c r="C21" s="120">
        <f>'Q4 Assumptions'!$B$9+C20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2026-10-05T01:53:22Z</dcterms:created>
  <dcterms:modified xsi:type="dcterms:W3CDTF">2026-10-05T01:53:22Z</dcterms:modified>
</cp:coreProperties>
</file>